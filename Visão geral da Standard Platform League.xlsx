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drawings/drawing2.xml" ContentType="application/vnd.openxmlformats-officedocument.drawing+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charts/chart2.xml" ContentType="application/vnd.openxmlformats-officedocument.drawingml.chart+xml"/>
  <Override PartName="/xl/charts/chart1.xml" ContentType="application/vnd.openxmlformats-officedocument.drawingml.chart+xml"/>
  <Override PartName="/xl/sharedStrings.xml" ContentType="application/vnd.openxmlformats-officedocument.spreadsheetml.sharedStrings+xml"/>
  <Override PartName="/xl/worksheets/sheet8.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Teams" sheetId="1" state="visible" r:id="rId2"/>
    <sheet name="Teams over time" sheetId="2" state="visible" r:id="rId3"/>
    <sheet name="Team" sheetId="3" state="hidden" r:id="rId4"/>
    <sheet name="World winners" sheetId="4" state="visible" r:id="rId5"/>
    <sheet name="Winners" sheetId="5" state="visible" r:id="rId6"/>
    <sheet name="Problemas" sheetId="6" state="visible" r:id="rId7"/>
    <sheet name="brain storming" sheetId="7" state="hidden" r:id="rId8"/>
    <sheet name="Other" sheetId="8" state="visible" r:id="rId9"/>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<sst xmlns="http://schemas.openxmlformats.org/spreadsheetml/2006/main" count="689" uniqueCount="561">
  <si>
    <t xml:space="preserve">Best teams</t>
  </si>
  <si>
    <t xml:space="preserve">Team</t>
  </si>
  <si>
    <t xml:space="preserve">Institution</t>
  </si>
  <si>
    <t xml:space="preserve">Country</t>
  </si>
  <si>
    <t xml:space="preserve">Site</t>
  </si>
  <si>
    <t xml:space="preserve">General information</t>
  </si>
  <si>
    <t xml:space="preserve">Since in SPL competition</t>
  </si>
  <si>
    <t xml:space="preserve">Leaders</t>
  </si>
  <si>
    <t xml:space="preserve">Current members (2019)</t>
  </si>
  <si>
    <t xml:space="preserve">Knowledge area</t>
  </si>
  <si>
    <t xml:space="preserve"> Thesis / Papers / Technical Reports (1 ou 0)</t>
  </si>
  <si>
    <t xml:space="preserve">Códigos / programas liberados (1 ou 0)</t>
  </si>
  <si>
    <t xml:space="preserve">Codes based on...</t>
  </si>
  <si>
    <t xml:space="preserve">Videos</t>
  </si>
  <si>
    <t xml:space="preserve">Sponsors (0 or 1)</t>
  </si>
  <si>
    <t xml:space="preserve">Number of robots</t>
  </si>
  <si>
    <t xml:space="preserve">Amount of publications</t>
  </si>
  <si>
    <t xml:space="preserve">Other information</t>
  </si>
  <si>
    <t xml:space="preserve">Start from...</t>
  </si>
  <si>
    <t xml:space="preserve">Contact</t>
  </si>
  <si>
    <t xml:space="preserve">B-Human</t>
  </si>
  <si>
    <t xml:space="preserve">Department of Computer Science of the University of Bremen and the DFKI research area Cyber-Physical Systems</t>
  </si>
  <si>
    <t xml:space="preserve">Germany</t>
  </si>
  <si>
    <t xml:space="preserve">https://www.b-human.de/</t>
  </si>
  <si>
    <t xml:space="preserve">"B-Human is currently one of the best teams in the RoboCup Standard Platform League and won the world championship six times, the RoboCup German Open nine times, and the RoboCup European Open once. It is a collegiate project at the Department of Computer Science of the University of Bremen and the DFKI research area Cyber-Physical Systems...  B-Human is a collegiate project at the Department of Computer Science of the University of Bremen and the DFKI research department Cyber-Physical Systems. The goal of the project is to develop suitable software in order to participate in several RoboCup events and also to motivate students for an academic career. Our team consists of students and researchers from the University of Bremen and the DFKI. The RoboCup is a fascinating combination of innovative research and the most popular team sport. We participated in the Humanoid League until we entered the Standard Platform League in 2008. Since then, we participated in the German Open, in the European Open, and in the RoboCup world championships. "</t>
  </si>
  <si>
    <t xml:space="preserve">Students and researchers; mainly Computer Science.</t>
  </si>
  <si>
    <t xml:space="preserve">There is pretty good material (pdfs, code release...) to support studies on it.</t>
  </si>
  <si>
    <t xml:space="preserve">Read the CodeRelease2019.pdf</t>
  </si>
  <si>
    <t xml:space="preserve">Nao Team HTWK</t>
  </si>
  <si>
    <t xml:space="preserve">Faculty of Computer Science, Mathematics and Natural Sciences
Leipzig University of Applied Sciences</t>
  </si>
  <si>
    <t xml:space="preserve">https://htwk-robots.de/
https://naoteamhtwk.blogspot.com/</t>
  </si>
  <si>
    <t xml:space="preserve">They actually have a pretty interesting blog w/ some videos and events they participated, it's more visual than text-oriented though.</t>
  </si>
  <si>
    <t xml:space="preserve">14 + 4 supervising professors based on their pictures in "Members", although it is stated "Our team currently consists of 20 graduate and undergraduate students of computer science." in homepage.</t>
  </si>
  <si>
    <t xml:space="preserve">Graduate and undergraduate students of computer science</t>
  </si>
  <si>
    <t xml:space="preserve">Just about the competitions.</t>
  </si>
  <si>
    <t xml:space="preserve">naohtwk@googlemail.com</t>
  </si>
  <si>
    <t xml:space="preserve">rUNSWift</t>
  </si>
  <si>
    <t xml:space="preserve">University of New South Wales</t>
  </si>
  <si>
    <t xml:space="preserve">Australia</t>
  </si>
  <si>
    <t xml:space="preserve">http://robolab.cse.unsw.edu.au/robocup/</t>
  </si>
  <si>
    <t xml:space="preserve">Nothing special.</t>
  </si>
  <si>
    <t xml:space="preserve">?</t>
  </si>
  <si>
    <t xml:space="preserve">According to the picture in 2018, there are 13 members.</t>
  </si>
  <si>
    <t xml:space="preserve">"School of Computer Science and Engineering"; nothing besides it.</t>
  </si>
  <si>
    <t xml:space="preserve">Yes, but the links online are old: 2014</t>
  </si>
  <si>
    <t xml:space="preserve">Old from 2014.</t>
  </si>
  <si>
    <t xml:space="preserve">Nothing relevant.</t>
  </si>
  <si>
    <t xml:space="preserve">Government.</t>
  </si>
  <si>
    <t xml:space="preserve">The website is not good.</t>
  </si>
  <si>
    <t xml:space="preserve">Nao Devils</t>
  </si>
  <si>
    <t xml:space="preserve">Robotics Research Institute at Techinical University of Dortmund University</t>
  </si>
  <si>
    <t xml:space="preserve">https://naodevils.de/</t>
  </si>
  <si>
    <t xml:space="preserve">Essa equipe é originária de uma divisão de outra equipe anterior chamada BreDoBrothers que era uma fusão de estudantes de 2 universidades - University of Bremen and the University of Dortmund.</t>
  </si>
  <si>
    <t xml:space="preserve">Nothing about.</t>
  </si>
  <si>
    <t xml:space="preserve">Site is very simple with little information.</t>
  </si>
  <si>
    <t xml:space="preserve">UT Austin Villa</t>
  </si>
  <si>
    <t xml:space="preserve">The University of Texas at Austin, Department of Computer Science</t>
  </si>
  <si>
    <t xml:space="preserve">USA</t>
  </si>
  <si>
    <t xml:space="preserve">http://www.cs.utexas.edu/~AustinVilla/?p=nao</t>
  </si>
  <si>
    <t xml:space="preserve">"Our team built up its code base from scratch, starting in December 2007. We built on our experience in the previous legged league using the Sony Aibo robot to engineer our new software for easy use, extendability and debugability."</t>
  </si>
  <si>
    <t xml:space="preserve">6 PhD students in Computer Science.</t>
  </si>
  <si>
    <t xml:space="preserve">Computer Science</t>
  </si>
  <si>
    <t xml:space="preserve">Yes, but it doesn't seem to be relevant.</t>
  </si>
  <si>
    <t xml:space="preserve">Yes, but it is from 2012 - too old.</t>
  </si>
  <si>
    <t xml:space="preserve">Mainly about competitions. Just a few and old ones about particular implementations of them.</t>
  </si>
  <si>
    <t xml:space="preserve">They are not very good in SPL, but are great in 3D Simulation League. Their site is poor.</t>
  </si>
  <si>
    <t xml:space="preserve">MiPal</t>
  </si>
  <si>
    <t xml:space="preserve">Griffith University, Universitat Pompeu Fabra</t>
  </si>
  <si>
    <t xml:space="preserve">Australia and Spain</t>
  </si>
  <si>
    <t xml:space="preserve">http://www.mipal.net.au/</t>
  </si>
  <si>
    <t xml:space="preserve">-</t>
  </si>
  <si>
    <t xml:space="preserve">Software Engineering and Computer Science</t>
  </si>
  <si>
    <t xml:space="preserve">Mainly of their own projects and some of old SPL competions</t>
  </si>
  <si>
    <t xml:space="preserve">The website is not specifically about the SPL team, but it is about the laboratory where the team is located. There is none relevant about the soccer.</t>
  </si>
  <si>
    <t xml:space="preserve">TJArk</t>
  </si>
  <si>
    <t xml:space="preserve">College of Electronics and Information Engineering, Tongji University</t>
  </si>
  <si>
    <t xml:space="preserve">China</t>
  </si>
  <si>
    <t xml:space="preserve">http://rail.tongji.edu.cn/</t>
  </si>
  <si>
    <t xml:space="preserve">Apparently their site is not working. Yeah... The English version isn't online.</t>
  </si>
  <si>
    <t xml:space="preserve">Bembelbots</t>
  </si>
  <si>
    <t xml:space="preserve">Goethe University Frankfurt am Main</t>
  </si>
  <si>
    <t xml:space="preserve">http://www.bembelbots.de/</t>
  </si>
  <si>
    <t xml:space="preserve">2009 (created)</t>
  </si>
  <si>
    <t xml:space="preserve">8 or 13 or 15 (it is not clear. 8 is based on a picture, 13 on the team report, 15 on what is written in the homepage)
</t>
  </si>
  <si>
    <t xml:space="preserve">"Mostly students of the bachelor and master degree and some PHD students". Area is not stated.</t>
  </si>
  <si>
    <t xml:space="preserve">Most of them about the qualification for RoboCup (one for each year, that they had participaded)</t>
  </si>
  <si>
    <t xml:space="preserve">Nothing relevant, just some Team Reports. "The team does not have any constant financial resources, so a lot of resources are used to afford robot upgrades and additional hardware".</t>
  </si>
  <si>
    <t xml:space="preserve">Berlin United - Nao Team Humboldt</t>
  </si>
  <si>
    <t xml:space="preserve">Humboldt-Universität zu Berlin, Adaptive Systems Group</t>
  </si>
  <si>
    <t xml:space="preserve">http://naoth.de/</t>
  </si>
  <si>
    <t xml:space="preserve">12 active + 2 associated + 2 supervisors</t>
  </si>
  <si>
    <t xml:space="preserve">"Computer Science" because they come from the " Department of Computer Science of the Humboldt-Universität zu Berlin"</t>
  </si>
  <si>
    <t xml:space="preserve">RoboCup qualifications videos</t>
  </si>
  <si>
    <t xml:space="preserve">"Robot-Soccer is a big challenge for both, Robotics and Artificial Intelligence. It provides a test area for the state of the art in technology and science. Success in this area may yield solutions to problems in a variety of fields. The idea of Robot-Soccer also provides good starting points for education and practical training of students at the university."
Interesting: "We are always happy to welcome new students in our team. There is also the possibility of doing your diploma/master-thesis or student research project (“Studienarbeit”) at our working group."
They have other projects related to SPL. It seems they are really engaged in such field. I liked the organization of the project and information of the website.</t>
  </si>
  <si>
    <t xml:space="preserve">HULKs</t>
  </si>
  <si>
    <t xml:space="preserve">Hamburg University of Technology</t>
  </si>
  <si>
    <t xml:space="preserve">http://www.hulks.de/</t>
  </si>
  <si>
    <t xml:space="preserve">Computer Science, Mechatronics, Intelligent Systems and Robotics, General Engineering Science...</t>
  </si>
  <si>
    <t xml:space="preserve">themselves. "We are also one of the few teams that have developed their own framework."</t>
  </si>
  <si>
    <t xml:space="preserve">Nothing relevant.
</t>
  </si>
  <si>
    <t xml:space="preserve">"Our team consists exclusively of students who work on the project during their free time."
They are young on this field and seem to be working seriously. Although the website is not full of information, it is clear and pretty. I liked it.</t>
  </si>
  <si>
    <t xml:space="preserve">hulks@tuhh.de</t>
  </si>
  <si>
    <t xml:space="preserve">Camellia Dragons</t>
  </si>
  <si>
    <t xml:space="preserve">Aichi Prefectural University</t>
  </si>
  <si>
    <t xml:space="preserve">Japan</t>
  </si>
  <si>
    <t xml:space="preserve">http://www.ist.aichi-pu.ac.jp/lab/robocup-spl/index.html</t>
  </si>
  <si>
    <t xml:space="preserve">Not mentioned</t>
  </si>
  <si>
    <t xml:space="preserve">According to the picture of Japan Open 2018 in Ogata, they have 16 members</t>
  </si>
  <si>
    <t xml:space="preserve">Nothing interesting.</t>
  </si>
  <si>
    <t xml:space="preserve">B-Human accorgind TDP.</t>
  </si>
  <si>
    <t xml:space="preserve">Not found</t>
  </si>
  <si>
    <t xml:space="preserve">Simple and poor website. They have won some competitions in Robocup Japan Open, seeming they are good in their country, although bad in the international competition. Their code is in github and is based on the B-Human one, but I would not touch it. =/</t>
  </si>
  <si>
    <t xml:space="preserve">NomadZ</t>
  </si>
  <si>
    <t xml:space="preserve">Department of Information Technology and Electrical Engineering ETH Zurich, Automatic Control Laboratory (IfA), Computer Vision Laboratory (CVL)</t>
  </si>
  <si>
    <t xml:space="preserve">Switzerland</t>
  </si>
  <si>
    <t xml:space="preserve">http://www.robocup.ethz.ch/</t>
  </si>
  <si>
    <t xml:space="preserve">2012 (based on the Alumni)</t>
  </si>
  <si>
    <t xml:space="preserve">5 (2 professors + 3 leaders)</t>
  </si>
  <si>
    <t xml:space="preserve">not clear: "If you are from a different team and your team works with the B-Human code framework, make sure to check our YouTube channel for some tutorials on the framework by Filippo Martinoni."</t>
  </si>
  <si>
    <t xml:space="preserve">Old youtube videos about competitions and codes.</t>
  </si>
  <si>
    <t xml:space="preserve">They have projects even to freelancers who are not engaged in an academic environment. There are some project proposals open for interested people.</t>
  </si>
  <si>
    <t xml:space="preserve">nomadz@ethz.ch</t>
  </si>
  <si>
    <t xml:space="preserve">Dutch Nao Team</t>
  </si>
  <si>
    <t xml:space="preserve">Universiteit van Amsterdam, Faculty of Science, Informatics Institute</t>
  </si>
  <si>
    <t xml:space="preserve">The Netherlands</t>
  </si>
  <si>
    <t xml:space="preserve">http://dutchnaoteam.nl/</t>
  </si>
  <si>
    <t xml:space="preserve">16 "twelve master students, two bachelor students, one alumnus and one staff member from the University of Amsterdam, The Netherlands"</t>
  </si>
  <si>
    <t xml:space="preserve">"bachelor and master students from the University of Amsterdam and Maastricht University"</t>
  </si>
  <si>
    <t xml:space="preserve">not yet, but planned to release a stable code.</t>
  </si>
  <si>
    <t xml:space="preserve">themselves with a part of "the walking engine of BHuman based on rUNSWift’s walking engine".</t>
  </si>
  <si>
    <t xml:space="preserve">Only one, about the qualification of the team in SPL 2019</t>
  </si>
  <si>
    <t xml:space="preserve">1 (but not declared clearly)</t>
  </si>
  <si>
    <t xml:space="preserve">21 ("In the last nine years the team has bought 19 Nao robots, although not all of them are operational anymore.The team currently has two V6 robots, but has the intention to buy at least two more before theupcoming RoboCup.")</t>
  </si>
  <si>
    <t xml:space="preserve">They have a interesting article about "learning a robot to score a penalty". Beautiful website. In order to support they participation in games, they give different kinds of demonstrations to interested/supporters - interesting. Their written in the TDP and website is clear, elegant and reasonable. Most of the team is compounded by master master degree students. So... it seems pretty reasonable to have such educated students instead undergraduate students. Interesting reason to develop their own framework: "From April 2017 onward, the team has been using its own framework. The decision to start a newframework was made to provide the team with a codebase it fully understands and is documentedin  a  way  that  is  understandable  for  all  members  of  the  team,  new  and  old.  By  creating  an  ownframework, the team has gotten a better understanding of all components required to go from sensorvalues to high level actions. Ultimately, every team member should be able to largely understand itsinner workings and feel comfortable with it. Our new framework is based on messages sent betweenmodules, where each module represents one algorithm handling a task in the football playing robot.Each message shared between modules contains a representation. The system uses a message namingconvention comparable to the ROS messaging system, which makes it easy to use for developersthat have some experience with ROS. So  far,  the  team  has  noticed  that  despite  the  obvious  drawbacks  of  having  to  recreate  basicfunctionality, the educational value of our new framework has increased the motivation of (newer)team members and has had a positive impact on the overall productivity. A code release is plannedwhen all basic functionality has been implemented and tested thoroughly."</t>
  </si>
  <si>
    <t xml:space="preserve">TDP</t>
  </si>
  <si>
    <t xml:space="preserve">form in website</t>
  </si>
  <si>
    <t xml:space="preserve">UPennalizers</t>
  </si>
  <si>
    <t xml:space="preserve">General Robotics, Automation, Sensing and Perception (GRASP) Laboratory, School of Engineering and Applied Science, University of Pennsylvania</t>
  </si>
  <si>
    <t xml:space="preserve">https://fling.seas.upenn.edu/~robocup/wiki/</t>
  </si>
  <si>
    <t xml:space="preserve">Two videos, about highlights and 2019 qualification</t>
  </si>
  <si>
    <t xml:space="preserve">Naova</t>
  </si>
  <si>
    <t xml:space="preserve">École de Technologie Supérieur</t>
  </si>
  <si>
    <t xml:space="preserve">Canada</t>
  </si>
  <si>
    <t xml:space="preserve">https://en.clubnaova.ca/</t>
  </si>
  <si>
    <t xml:space="preserve">2 co-captains</t>
  </si>
  <si>
    <t xml:space="preserve">13 students</t>
  </si>
  <si>
    <t xml:space="preserve">A robotic scientific club at "Ecole de Technologie Supérieure, Montréal" composed mostly by Software Engineers</t>
  </si>
  <si>
    <t xml:space="preserve">C++/C mostly</t>
  </si>
  <si>
    <t xml:space="preserve">2 - a publication for each of their RoboCup's participation</t>
  </si>
  <si>
    <t xml:space="preserve">I'd say by their gitHub repo and by their 2019 RoboCub paper</t>
  </si>
  <si>
    <t xml:space="preserve">SPQR</t>
  </si>
  <si>
    <t xml:space="preserve">Computer, Control and Management Engineering “Antonio Ruberti” at La Sapienza University of Rome</t>
  </si>
  <si>
    <t xml:space="preserve">Italy</t>
  </si>
  <si>
    <t xml:space="preserve">http://spqr.diag.uniroma1.it/</t>
  </si>
  <si>
    <t xml:space="preserve">2 - a team manager and a Software Development Leader
</t>
  </si>
  <si>
    <t xml:space="preserve">8 students</t>
  </si>
  <si>
    <t xml:space="preserve">Computer Engineering</t>
  </si>
  <si>
    <t xml:space="preserve">some RoboCub videos and tv shows in Italian</t>
  </si>
  <si>
    <t xml:space="preserve">maybe 5, based on a picture from 2017</t>
  </si>
  <si>
    <t xml:space="preserve">Probably a very using one, which is basically a tutorial on how to program nao robots</t>
  </si>
  <si>
    <t xml:space="preserve">Their "programming nao robots" pdf and their gitHub repo
</t>
  </si>
  <si>
    <t xml:space="preserve">SPQR Team: sapienza.spqrteam@gmail.com
Prof. Daniele Nardi: nardi@diag.uniroma1.it
Prof. Luca Iocchi: iocchi@diag.uniroma1.it</t>
  </si>
  <si>
    <t xml:space="preserve">NTU RoboPAL</t>
  </si>
  <si>
    <t xml:space="preserve">Department of Computer Science and Information Engineering, National Taiwan University</t>
  </si>
  <si>
    <t xml:space="preserve">Taiwan</t>
  </si>
  <si>
    <t xml:space="preserve">https://sites.google.com/site/nturobopalspl/</t>
  </si>
  <si>
    <t xml:space="preserve">1 - a Professor</t>
  </si>
  <si>
    <t xml:space="preserve">Highly interested in solving multi-robot research issues in terms of perception, behavior, and motion.</t>
  </si>
  <si>
    <t xml:space="preserve">no information was provided</t>
  </si>
  <si>
    <t xml:space="preserve">no videos were found</t>
  </si>
  <si>
    <t xml:space="preserve">maybe 11, based on a picture from their website</t>
  </si>
  <si>
    <t xml:space="preserve">I honestly have no idea, they don't provide us much info</t>
  </si>
  <si>
    <t xml:space="preserve">nturobopal@googlegroups.com</t>
  </si>
  <si>
    <t xml:space="preserve">RoboEireann</t>
  </si>
  <si>
    <t xml:space="preserve">Department of Electronic Engineering, Maynooth University, Department of Computer Science, Maynooth University</t>
  </si>
  <si>
    <t xml:space="preserve">Ireland</t>
  </si>
  <si>
    <t xml:space="preserve">http://www.roboeireann.ie/</t>
  </si>
  <si>
    <t xml:space="preserve">they just list some academic team members, but no leader is listed</t>
  </si>
  <si>
    <t xml:space="preserve">7 students</t>
  </si>
  <si>
    <t xml:space="preserve">Autonomous Robotics Research group of Electronic Engineering/Computer Science students.</t>
  </si>
  <si>
    <t xml:space="preserve">they do appear on some videos posted by other teams</t>
  </si>
  <si>
    <t xml:space="preserve">5 or more, based on a Facebook picture</t>
  </si>
  <si>
    <t xml:space="preserve">They list some publication on their website, maybe start reading one of those</t>
  </si>
  <si>
    <t xml:space="preserve">roboeireann@gmail.com</t>
  </si>
  <si>
    <t xml:space="preserve">SABANA Herons</t>
  </si>
  <si>
    <t xml:space="preserve">Universidad de La Sabana</t>
  </si>
  <si>
    <t xml:space="preserve">Colombia</t>
  </si>
  <si>
    <t xml:space="preserve">http://sabanaherons.co/</t>
  </si>
  <si>
    <t xml:space="preserve">6 students</t>
  </si>
  <si>
    <t xml:space="preserve">Mechanical Engineering and Informatic Engineering</t>
  </si>
  <si>
    <t xml:space="preserve">Their qualitification video for the RoboCub is quite amusing</t>
  </si>
  <si>
    <t xml:space="preserve">5 or more, based on an Instagram picture</t>
  </si>
  <si>
    <t xml:space="preserve">Their gitHub repo</t>
  </si>
  <si>
    <t xml:space="preserve">I'd say their Instagram page https://www.instagram.com/sabanaherons/
</t>
  </si>
  <si>
    <t xml:space="preserve">Starkit</t>
  </si>
  <si>
    <t xml:space="preserve">Moscow institute of physics and technology (MIPT)</t>
  </si>
  <si>
    <t xml:space="preserve">Russia</t>
  </si>
  <si>
    <t xml:space="preserve">http://starkit.ru/</t>
  </si>
  <si>
    <t xml:space="preserve">2 subteams - 1 captain each</t>
  </si>
  <si>
    <t xml:space="preserve">2 subteams - 4 students each</t>
  </si>
  <si>
    <t xml:space="preserve">Their qualitification video for the RoboCub</t>
  </si>
  <si>
    <t xml:space="preserve">couldn't get the info</t>
  </si>
  <si>
    <t xml:space="preserve">Figuring out how they've managed to win some tournments in such a short time</t>
  </si>
  <si>
    <t xml:space="preserve">robocup.mipt@gmail.com</t>
  </si>
  <si>
    <t xml:space="preserve">UChile</t>
  </si>
  <si>
    <t xml:space="preserve">University of Chile, Advanced Mining Technology Center</t>
  </si>
  <si>
    <t xml:space="preserve">Chile</t>
  </si>
  <si>
    <t xml:space="preserve">http://uchilert.amtc.cl/</t>
  </si>
  <si>
    <t xml:space="preserve">1 Professor Team Leader/ 1 Captain</t>
  </si>
  <si>
    <t xml:space="preserve">10 students</t>
  </si>
  <si>
    <t xml:space="preserve">Computer/Electrical Engineering</t>
  </si>
  <si>
    <t xml:space="preserve">they have some tv appearances on their website</t>
  </si>
  <si>
    <t xml:space="preserve">not sure, the pictures are from 2012
</t>
  </si>
  <si>
    <t xml:space="preserve">Well, their website is full of papers, have fun :)</t>
  </si>
  <si>
    <t xml:space="preserve">There's a contact page on their website</t>
  </si>
  <si>
    <t xml:space="preserve">Aztlan</t>
  </si>
  <si>
    <t xml:space="preserve">Universidad Tecnológica de la Mixteca, Instituto Tecnológico Autónomo de México, Centro de Investigación en Matemáticas, Centro de Investigación en Computación IPN, Universidad Panamericana, Instituto Nacional de Astrofísica Óptica y Electrónica </t>
  </si>
  <si>
    <t xml:space="preserve">Mexico</t>
  </si>
  <si>
    <t xml:space="preserve">http://robotica.itam.mx/spl</t>
  </si>
  <si>
    <t xml:space="preserve">not mentioned</t>
  </si>
  <si>
    <t xml:space="preserve">7 students (2016)</t>
  </si>
  <si>
    <t xml:space="preserve">Mathematic/Engineering/Computer Science</t>
  </si>
  <si>
    <t xml:space="preserve">not mentioned
</t>
  </si>
  <si>
    <t xml:space="preserve">their qualification RoboCup video</t>
  </si>
  <si>
    <t xml:space="preserve">not sure, but could see 3 robots on a video</t>
  </si>
  <si>
    <t xml:space="preserve">Poor website, w/ some broken pages</t>
  </si>
  <si>
    <t xml:space="preserve">the website page that would informe their contact is broken</t>
  </si>
  <si>
    <t xml:space="preserve">Rinobot</t>
  </si>
  <si>
    <t xml:space="preserve">Federal University of Juiz de Fora (UFJF)</t>
  </si>
  <si>
    <t xml:space="preserve">Brazil</t>
  </si>
  <si>
    <t xml:space="preserve">https://www.facebook.com/rinobot/</t>
  </si>
  <si>
    <t xml:space="preserve">1 captain</t>
  </si>
  <si>
    <t xml:space="preserve">they're pretty big actually, many students involved</t>
  </si>
  <si>
    <t xml:space="preserve">I'd say their engineering department</t>
  </si>
  <si>
    <t xml:space="preserve">a lof of them on their Facebook Page
</t>
  </si>
  <si>
    <t xml:space="preserve">4 maybe</t>
  </si>
  <si>
    <t xml:space="preserve">They've had a crowdfunding campaign to go to the RoboCub 2018, wasn't successful though</t>
  </si>
  <si>
    <t xml:space="preserve">Well, they're brazilian, contacting them would probably be a lot easier</t>
  </si>
  <si>
    <t xml:space="preserve">rinobot@engenharia.ufjf.br</t>
  </si>
  <si>
    <t xml:space="preserve">Unbeatables</t>
  </si>
  <si>
    <t xml:space="preserve">LARA (Laboratory of Robotics and Automation), UNB (University of Brasilia)</t>
  </si>
  <si>
    <t xml:space="preserve">https://www.facebook.com/unbeatablesbr</t>
  </si>
  <si>
    <t xml:space="preserve">4 students</t>
  </si>
  <si>
    <t xml:space="preserve">Mechatronics/Electrical Engineering</t>
  </si>
  <si>
    <t xml:space="preserve">Globo interviewed them
</t>
  </si>
  <si>
    <t xml:space="preserve">I'd say their facebook page</t>
  </si>
  <si>
    <t xml:space="preserve">unbeatables.unb@gmail.com</t>
  </si>
  <si>
    <t xml:space="preserve">UNSW Sydney</t>
  </si>
  <si>
    <t xml:space="preserve">https://www.engineering.unsw.edu.au/computer-science-engineering/help-resources/students/student-projects/robocup</t>
  </si>
  <si>
    <t xml:space="preserve">6 professors/Dr</t>
  </si>
  <si>
    <t xml:space="preserve">Academic staff, research staff, postgraduate research students, and undergraduate Engineering students</t>
  </si>
  <si>
    <t xml:space="preserve">could'nt login to their gitLab</t>
  </si>
  <si>
    <t xml:space="preserve">a youtube channel and their enginnering department facebook page</t>
  </si>
  <si>
    <t xml:space="preserve">probably many</t>
  </si>
  <si>
    <t xml:space="preserve">They do have some academic info, but they don't share much about their infrastructure</t>
  </si>
  <si>
    <t xml:space="preserve">Their gitLab for source code http://robolab.cse.unsw.edu.au:4443/toyota-hsr/robocup2018.</t>
  </si>
  <si>
    <t xml:space="preserve">WrightOcean</t>
  </si>
  <si>
    <t xml:space="preserve">Lab of Robotics, School of Information and Electrical Engineering, Ludong University</t>
  </si>
  <si>
    <t xml:space="preserve">http://www.wrightocean.org/</t>
  </si>
  <si>
    <t xml:space="preserve">2 PhD Instructors/ 2 students team leaders</t>
  </si>
  <si>
    <t xml:space="preserve">more than 50 students</t>
  </si>
  <si>
    <t xml:space="preserve">Robot Vision/Decision Making/Robot Vision</t>
  </si>
  <si>
    <t xml:space="preserve">couldn't find any</t>
  </si>
  <si>
    <t xml:space="preserve">not mentioned, but I could see 4 of them on a pic</t>
  </si>
  <si>
    <t xml:space="preserve">I've actually found 3 research articles, but 2 of them are in Chinese</t>
  </si>
  <si>
    <t xml:space="preserve">Their application to the 2015 roboCub </t>
  </si>
  <si>
    <t xml:space="preserve">liu.fei.ldu@gmail.com/lvgh@ldu.edu.cn</t>
  </si>
  <si>
    <t xml:space="preserve">MRL-SPL</t>
  </si>
  <si>
    <t xml:space="preserve">Mechatronics Research Laboratory, Qazvin Azad University</t>
  </si>
  <si>
    <t xml:space="preserve">Iran</t>
  </si>
  <si>
    <t xml:space="preserve">http://mrl-spl.ir/,https://www.facebook.com/MrlSpl/ - PS: the first website is down 2020-02-23</t>
  </si>
  <si>
    <t xml:space="preserve">they're some short ones on their facebook page, nothing much interesting, though</t>
  </si>
  <si>
    <t xml:space="preserve">maybe 6, based on a facebook pic</t>
  </si>
  <si>
    <t xml:space="preserve">Website is down and the facebook page lacks info. Could find this article online https://www.academia.edu/34696271/MRL-SPL_Team_Description_for_RoboCup_2017</t>
  </si>
  <si>
    <t xml:space="preserve">maybe their facebook page</t>
  </si>
  <si>
    <t xml:space="preserve">facebook</t>
  </si>
  <si>
    <t xml:space="preserve">JoiTech</t>
  </si>
  <si>
    <t xml:space="preserve">Asada Laboratory Department of Adaptive Machine Systems, Graduate School of Engineering, Osaka University, Japan </t>
  </si>
  <si>
    <t xml:space="preserve">http://www.er.ams.eng.osaka-u.ac.jp/ichinose/Joitech_HP/</t>
  </si>
  <si>
    <t xml:space="preserve">not found</t>
  </si>
  <si>
    <t xml:space="preserve">I could find their gitHub repo, but their website is down</t>
  </si>
  <si>
    <t xml:space="preserve">Their gitHub repo, they even have some instructions there
</t>
  </si>
  <si>
    <t xml:space="preserve">masaya.kataoka@ams.eng.osaka-u.ac.jp - gitHub repo owner</t>
  </si>
  <si>
    <t xml:space="preserve">Luxembourg United</t>
  </si>
  <si>
    <t xml:space="preserve">University of Luxembourg – SnT (Interdisciplinary Centre for Security, Reliability and Trust)</t>
  </si>
  <si>
    <t xml:space="preserve">Luxembourg</t>
  </si>
  <si>
    <t xml:space="preserve">https://luxembourg-united.uni.lu/</t>
  </si>
  <si>
    <t xml:space="preserve">8 students (2017)</t>
  </si>
  <si>
    <t xml:space="preserve">Computer Science, Engineering and Applied Mathematics</t>
  </si>
  <si>
    <t xml:space="preserve">some RoboCub videos on Youtube</t>
  </si>
  <si>
    <t xml:space="preserve">6 or more, based on a picture</t>
  </si>
  <si>
    <t xml:space="preserve">Their website doesn't have much info and I couldn't find a GitHub repo</t>
  </si>
  <si>
    <t xml:space="preserve">Their RoboCup report</t>
  </si>
  <si>
    <t xml:space="preserve">patrice.caire@uni.lu</t>
  </si>
  <si>
    <t xml:space="preserve">Linkoping Humanoids</t>
  </si>
  <si>
    <t xml:space="preserve">Department of Computer and Information Science, Linköping University</t>
  </si>
  <si>
    <t xml:space="preserve">Sweden</t>
  </si>
  <si>
    <t xml:space="preserve">https://www.ida.liu.se/projects/humanoids,https://www.facebook.com/LiUHumanoids/</t>
  </si>
  <si>
    <t xml:space="preserve">11 professor/students</t>
  </si>
  <si>
    <t xml:space="preserve">Computer Science, Electrical Engineering, Applied Psysics</t>
  </si>
  <si>
    <t xml:space="preserve">C++/Python - PS: they created their own code from scratch</t>
  </si>
  <si>
    <t xml:space="preserve">6 H25 NAO v5 and 4 H25NAO v4.</t>
  </si>
  <si>
    <t xml:space="preserve">I've found 3 gitHub repositories and their application for the 2016 roboCub does have some useful info</t>
  </si>
  <si>
    <t xml:space="preserve">Their RoboCub application/gitHub repo</t>
  </si>
  <si>
    <t xml:space="preserve">http://linkedin.com/in/bergelin - he was the one who upload the code to GitHub</t>
  </si>
  <si>
    <t xml:space="preserve">NTURoboPAL</t>
  </si>
  <si>
    <t xml:space="preserve">Robot Perception, Behaviour and Motion</t>
  </si>
  <si>
    <t xml:space="preserve">11 based on a website picture</t>
  </si>
  <si>
    <t xml:space="preserve">Poor website, no gitHub or publications were found</t>
  </si>
  <si>
    <t xml:space="preserve">Honestly, I have no idea. Trying to get some more info by contacting them.</t>
  </si>
  <si>
    <t xml:space="preserve">RoboCanes</t>
  </si>
  <si>
    <t xml:space="preserve">Department of Computer Science, University of Miami</t>
  </si>
  <si>
    <t xml:space="preserve">http://robocanes.cs.miami.edu/</t>
  </si>
  <si>
    <t xml:space="preserve">a 3d video simulation on their website</t>
  </si>
  <si>
    <t xml:space="preserve">Their gitHub has nothing to do w/ the RoboCub, it's just some other robotics stuff - https://github.com/robocanes ... They save they're world-wide community w/ more than 4000 active researchers</t>
  </si>
  <si>
    <t xml:space="preserve">Their 3d simulation website video </t>
  </si>
  <si>
    <t xml:space="preserve">robocanes@cs.miami.edu</t>
  </si>
  <si>
    <t xml:space="preserve">Northern Bites</t>
  </si>
  <si>
    <t xml:space="preserve">Bowdoin College</t>
  </si>
  <si>
    <t xml:space="preserve">http://research.bowdoin.edu/robocup/</t>
  </si>
  <si>
    <t xml:space="preserve">8 students (2016 website picture)</t>
  </si>
  <si>
    <t xml:space="preserve">Java/C++/Python - even some Assembly</t>
  </si>
  <si>
    <t xml:space="preserve">some YouTube stuff from other teams
</t>
  </si>
  <si>
    <t xml:space="preserve">3 probably, based on a website picture</t>
  </si>
  <si>
    <t xml:space="preserve">Their publication is pretty old (2008), but their gitHub repository is open.</t>
  </si>
  <si>
    <t xml:space="preserve">jimhoff@bowdoin.edu/dzeller@bowdoin.edu</t>
  </si>
  <si>
    <t xml:space="preserve">Philosopher</t>
  </si>
  <si>
    <t xml:space="preserve">iCV group at IMS Lab of University of Tartu</t>
  </si>
  <si>
    <t xml:space="preserve">Estonia</t>
  </si>
  <si>
    <t xml:space="preserve">http://icv.ims.ut.ee/philosopher</t>
  </si>
  <si>
    <t xml:space="preserve">Couldn't find any RoboCub info on their website, there's just some other robotics related website publications
</t>
  </si>
  <si>
    <t xml:space="preserve">You won't get much from their website, maybe contacting them would be the best</t>
  </si>
  <si>
    <t xml:space="preserve">contact@icv.tuit.ut.ee</t>
  </si>
  <si>
    <t xml:space="preserve">Team-NUST</t>
  </si>
  <si>
    <t xml:space="preserve">Robotics and Intelligent Systems Engineering (RISE) Research Center, SMME, NUST</t>
  </si>
  <si>
    <t xml:space="preserve">Pakistan</t>
  </si>
  <si>
    <t xml:space="preserve">http://rise.smme.nust.edu.pk/projects/RoboCupSPL/</t>
  </si>
  <si>
    <t xml:space="preserve">8 students (2016)</t>
  </si>
  <si>
    <t xml:space="preserve">Humanoid Robotics, Artificial Intelligence, Machine Vision, Motion Planning, Kinematics and Navigation</t>
  </si>
  <si>
    <t xml:space="preserve">C++/C - even some Fortran</t>
  </si>
  <si>
    <t xml:space="preserve">some RoboCup qualification videos</t>
  </si>
  <si>
    <t xml:space="preserve">2 H-25 NAO v4 / 5 H-25 NAO v5</t>
  </si>
  <si>
    <t xml:space="preserve">2 gitHub repositories and a detailed RoboCub application</t>
  </si>
  <si>
    <t xml:space="preserve">I'd say their gitHub repo</t>
  </si>
  <si>
    <t xml:space="preserve">yasar@smme.nust.edu.pk</t>
  </si>
  <si>
    <t xml:space="preserve">Z-Knipsers</t>
  </si>
  <si>
    <t xml:space="preserve">Automatic Control Lab, Computer Vision Lab, D-ITET, ETH Zurich</t>
  </si>
  <si>
    <t xml:space="preserve">https://robocup.ethz.ch/events/z-knipsers-open-house/</t>
  </si>
  <si>
    <t xml:space="preserve">their 2016 roboCup application seems to be down - https://www.google.com/url?sa=t&amp;rct=j&amp;q=&amp;esrc=s&amp;source=web&amp;cd=2&amp;ved=2ahUKEwjJ1eHG6-fnAhVLDrkGHVsKBvUQFjABegQIARAB&amp;url=http%3A%2F%2F2016.robocup.org%2Fweb%2Fimages%2Frobocup_2016_spl_tdp_z-knipsers.pdf&amp;usg=AOvVaw1McR96FmN1MqVwFGUUJCmq</t>
  </si>
  <si>
    <t xml:space="preserve">Trying to get any info from them</t>
  </si>
  <si>
    <t xml:space="preserve">DAInamite</t>
  </si>
  <si>
    <t xml:space="preserve">Technische Universität Berlin, DAI-Labor</t>
  </si>
  <si>
    <t xml:space="preserve">http://www.dainamite.de/</t>
  </si>
  <si>
    <t xml:space="preserve">5 undergrad/grad/post doc students</t>
  </si>
  <si>
    <t xml:space="preserve">C++/C</t>
  </si>
  <si>
    <t xml:space="preserve">
</t>
  </si>
  <si>
    <t xml:space="preserve">their gitHub repo has some really useful documentation https://github.com/AravinthPanch/gesture-recognition-for-human-robot-interaction</t>
  </si>
  <si>
    <t xml:space="preserve">robocup3d@lists.dai-labor.de</t>
  </si>
  <si>
    <t xml:space="preserve">Austrian Kangaroos</t>
  </si>
  <si>
    <t xml:space="preserve">Vienna University of Technology – Compilers and Languages Group, University of Applied Sciences Technikum Vienna </t>
  </si>
  <si>
    <t xml:space="preserve">Austria</t>
  </si>
  <si>
    <t xml:space="preserve">http://www.austrian-kangaroos.com/,https://www.acin.tuwien.ac.at/en/project/austrian-kangaroos/</t>
  </si>
  <si>
    <t xml:space="preserve">Robitcs Communication/Vision/World Model/Control/Motion/Monitor/Shared Memory/RCP Calls</t>
  </si>
  <si>
    <t xml:space="preserve">some videos on YouTube from other teams</t>
  </si>
  <si>
    <t xml:space="preserve">They mention the project status is "finished"
</t>
  </si>
  <si>
    <t xml:space="preserve">Their 2014 team description paper, which has part of their research</t>
  </si>
  <si>
    <t xml:space="preserve">Not sure if it's useful contacting them, as they're not working w/ it anymore</t>
  </si>
  <si>
    <t xml:space="preserve">Ano</t>
  </si>
  <si>
    <t xml:space="preserve">Year</t>
  </si>
  <si>
    <t xml:space="preserve">Local</t>
  </si>
  <si>
    <t xml:space="preserve">Teams</t>
  </si>
  <si>
    <t xml:space="preserve">FIFA World Cup editions</t>
  </si>
  <si>
    <t xml:space="preserve">1999 
 (AIBO)</t>
  </si>
  <si>
    <t xml:space="preserve">Stockholm - Sweden</t>
  </si>
  <si>
    <t xml:space="preserve">Not declared.</t>
  </si>
  <si>
    <t xml:space="preserve">2000 
 (AIBO)</t>
  </si>
  <si>
    <t xml:space="preserve">Melbourne - Australia</t>
  </si>
  <si>
    <t xml:space="preserve">2001 
 (AIBO)</t>
  </si>
  <si>
    <t xml:space="preserve">Seattle - USA</t>
  </si>
  <si>
    <t xml:space="preserve">2002 
 (AIBO)</t>
  </si>
  <si>
    <t xml:space="preserve">Fukuoka/Busan - Japan/Korea</t>
  </si>
  <si>
    <t xml:space="preserve">2003 
 (AIBO)</t>
  </si>
  <si>
    <t xml:space="preserve">Padua - Italy</t>
  </si>
  <si>
    <t xml:space="preserve">2004 
 (AIBO)</t>
  </si>
  <si>
    <t xml:space="preserve">Lisbon - Portugal</t>
  </si>
  <si>
    <t xml:space="preserve">2005 
 (AIBO)</t>
  </si>
  <si>
    <t xml:space="preserve">Osaka - Japan</t>
  </si>
  <si>
    <t xml:space="preserve">2006 
 (AIBO)</t>
  </si>
  <si>
    <t xml:space="preserve">Bremen - Germany</t>
  </si>
  <si>
    <t xml:space="preserve">2007 
 (AIBO)</t>
  </si>
  <si>
    <t xml:space="preserve">Atlanta - USA</t>
  </si>
  <si>
    <t xml:space="preserve">2008 
 (AIBO)</t>
  </si>
  <si>
    <t xml:space="preserve">Suzhou - China*</t>
  </si>
  <si>
    <t xml:space="preserve">2009 
 (Nao)</t>
  </si>
  <si>
    <t xml:space="preserve">Graz - Austria</t>
  </si>
  <si>
    <t xml:space="preserve">2010 
 (Nao)</t>
  </si>
  <si>
    <t xml:space="preserve">Singapore</t>
  </si>
  <si>
    <t xml:space="preserve">2011 
 (Nao)</t>
  </si>
  <si>
    <t xml:space="preserve">Istanbul - Turkey</t>
  </si>
  <si>
    <t xml:space="preserve">2012 
 (Nao)</t>
  </si>
  <si>
    <t xml:space="preserve">Mexico City - Mexico</t>
  </si>
  <si>
    <t xml:space="preserve">2013 
 (Nao)</t>
  </si>
  <si>
    <t xml:space="preserve">Eindhoven - The Netherlands</t>
  </si>
  <si>
    <t xml:space="preserve">2014 
 (Nao)</t>
  </si>
  <si>
    <t xml:space="preserve">João Pessoa - Brazil</t>
  </si>
  <si>
    <t xml:space="preserve">Hefei, China</t>
  </si>
  <si>
    <t xml:space="preserve">Leipzig, Germany</t>
  </si>
  <si>
    <t xml:space="preserve">Nagoya, Japan</t>
  </si>
  <si>
    <t xml:space="preserve">Montréal, Canada</t>
  </si>
  <si>
    <t xml:space="preserve">Sydney, Australia</t>
  </si>
  <si>
    <t xml:space="preserve">*NAO and AIBO robots.</t>
  </si>
  <si>
    <t xml:space="preserve">O site da ROBOCUP tem alguns problemas no informe da quantidade de equipes. Em um link mostra uma quantidade X, em outro Y. Ainda em um destes mostra nomes de equipes repetidas.</t>
  </si>
  <si>
    <t xml:space="preserve">FIFA editions may be motivating the growth of quantity of teams at ROBOCUP in the following year of the World Cup.</t>
  </si>
  <si>
    <t xml:space="preserve">Team Leader, Organization, Localization, Strategy, Motion</t>
  </si>
  <si>
    <t xml:space="preserve">Image Processing, Localization, Omnidirectional Walking and Motion Generation, Strategy and Behavior, Nao Management Software</t>
  </si>
  <si>
    <t xml:space="preserve">Strategy and Behavior, Communication and World model, Develoment tools and Linux Kernel, IT Administration</t>
  </si>
  <si>
    <t xml:space="preserve">Organization, Software Architecture, Refactoring, Motion Editor Developer</t>
  </si>
  <si>
    <t xml:space="preserve">Software Development</t>
  </si>
  <si>
    <t xml:space="preserve">Refactoring, IT Administration</t>
  </si>
  <si>
    <t xml:space="preserve">Nao-Status-Overview using HTC Vive</t>
  </si>
  <si>
    <t xml:space="preserve">Ball Passing, Parameter optimization</t>
  </si>
  <si>
    <t xml:space="preserve">Selftest, Team strategy, Optimisation problems, Robot identification</t>
  </si>
  <si>
    <t xml:space="preserve">Visual Debugging, Logfile management</t>
  </si>
  <si>
    <t xml:space="preserve">Presentation-Agent, local public relations</t>
  </si>
  <si>
    <t xml:space="preserve">Swarm intelligence, Deep Learning</t>
  </si>
  <si>
    <t xml:space="preserve">Inverse Kinematics, Digital-comunication with longitudinal waves</t>
  </si>
  <si>
    <t xml:space="preserve">vision, localization, locomotion, and coordination.</t>
  </si>
  <si>
    <t xml:space="preserve">Number of medals (first + second + third)</t>
  </si>
  <si>
    <t xml:space="preserve">Greece</t>
  </si>
  <si>
    <t xml:space="preserve">2016 indoor</t>
  </si>
  <si>
    <t xml:space="preserve">2016 outdoor</t>
  </si>
  <si>
    <t xml:space="preserve">First</t>
  </si>
  <si>
    <t xml:space="preserve">Second</t>
  </si>
  <si>
    <t xml:space="preserve">Third</t>
  </si>
  <si>
    <t xml:space="preserve">TOTAL</t>
  </si>
  <si>
    <t xml:space="preserve">Subtitle</t>
  </si>
  <si>
    <t xml:space="preserve">Ranking</t>
  </si>
  <si>
    <t xml:space="preserve">Nao Devils Dortmund</t>
  </si>
  <si>
    <t xml:space="preserve">Australia/Ireland</t>
  </si>
  <si>
    <t xml:space="preserve">NUManoids</t>
  </si>
  <si>
    <t xml:space="preserve">GTCMUnited</t>
  </si>
  <si>
    <t xml:space="preserve">NTU Robot PAL</t>
  </si>
  <si>
    <t xml:space="preserve">Kouretes</t>
  </si>
  <si>
    <t xml:space="preserve">Problemas a serem tratados</t>
  </si>
  <si>
    <t xml:space="preserve">Como?</t>
  </si>
  <si>
    <t xml:space="preserve">Outros</t>
  </si>
  <si>
    <t xml:space="preserve">Visão</t>
  </si>
  <si>
    <t xml:space="preserve">Detecção / rastreamento</t>
  </si>
  <si>
    <t xml:space="preserve">Bola</t>
  </si>
  <si>
    <t xml:space="preserve">Baseado em que técnica de visão computacional? Cor, forma, ...?</t>
  </si>
  <si>
    <t xml:space="preserve">Tratar variação de luminação também.</t>
  </si>
  <si>
    <t xml:space="preserve">Gol</t>
  </si>
  <si>
    <t xml:space="preserve">Linhas do campo</t>
  </si>
  <si>
    <t xml:space="preserve">Campo</t>
  </si>
  <si>
    <t xml:space="preserve">Robôs amigos</t>
  </si>
  <si>
    <t xml:space="preserve">Robôs inimigos</t>
  </si>
  <si>
    <t xml:space="preserve">Quando deve-se usar a câmera de cima ou de baixo do NAO? Há como fundi-las em uma, dando assim uma única grande imagem?</t>
  </si>
  <si>
    <t xml:space="preserve">Espaço livre em torno do robô</t>
  </si>
  <si>
    <t xml:space="preserve">Detecção do próprio corpo na imagem</t>
  </si>
  <si>
    <t xml:space="preserve">Procura por bola</t>
  </si>
  <si>
    <t xml:space="preserve">Movimento</t>
  </si>
  <si>
    <t xml:space="preserve">Chute</t>
  </si>
  <si>
    <t xml:space="preserve">Para frente, lado direito, lado esquerdo, frente direita, frente esquerda, e trás.</t>
  </si>
  <si>
    <t xml:space="preserve">CABSL (C-based Agent Behavior Specification Language)?</t>
  </si>
  <si>
    <t xml:space="preserve">Goleiro</t>
  </si>
  <si>
    <t xml:space="preserve">Defender gol de longe, perto e de frente (pode-se meio que sentar rápido nesse caso). Caso o goleiro esteja em frente da bola, ele deve: chutá-la (em pé ou sentado empurrando-a com o pé/perna, pegá-la com as mãos e arremessar pra frente ou apenas empurrar pra frente com as mãos.</t>
  </si>
  <si>
    <t xml:space="preserve">Caminhar</t>
  </si>
  <si>
    <t xml:space="preserve">Mais rápido e estável que o disponibilizado pela Aldebaran.</t>
  </si>
  <si>
    <t xml:space="preserve">Correr</t>
  </si>
  <si>
    <t xml:space="preserve">Piranha</t>
  </si>
  <si>
    <t xml:space="preserve">Robô deve procurar levar a bola consigo ao dominá-la e não apenas chutá-la caso esteja longe do gol.</t>
  </si>
  <si>
    <t xml:space="preserve">Levantar</t>
  </si>
  <si>
    <t xml:space="preserve">Levantar mais rápido que o disponibilizado pela Aldebaran. No mesmo tempo o robô deve estar procurando a bola.</t>
  </si>
  <si>
    <t xml:space="preserve">Omissão de auto-colisão</t>
  </si>
  <si>
    <t xml:space="preserve">Evitar o choque com outros robôs durante o jogo. Sensoriamento de proximidade.</t>
  </si>
  <si>
    <t xml:space="preserve">Por sonar, Visão, deslocamento do braço</t>
  </si>
  <si>
    <t xml:space="preserve">Estabilidade</t>
  </si>
  <si>
    <t xml:space="preserve">Em todos os movimentos acima.</t>
  </si>
  <si>
    <t xml:space="preserve">Autoposicionamento</t>
  </si>
  <si>
    <t xml:space="preserve">Autoposicionamento dos robôs no campo para começar a partida.</t>
  </si>
  <si>
    <t xml:space="preserve">Queda</t>
  </si>
  <si>
    <t xml:space="preserve">Evitar queda por caminhar em chão irregular e, obstáculo à frente ou mesmo ao seu redor.</t>
  </si>
  <si>
    <t xml:space="preserve">Controle da cabeça e do corpo</t>
  </si>
  <si>
    <t xml:space="preserve">Diferentes modos para o controle da cabeça e do corpo do robô.</t>
  </si>
  <si>
    <t xml:space="preserve">Estratégia</t>
  </si>
  <si>
    <t xml:space="preserve">Robô com bola</t>
  </si>
  <si>
    <t xml:space="preserve">Levar a bola consigo para o gol ou chutar para próximo ao robô amigo mais próximo do gol.</t>
  </si>
  <si>
    <t xml:space="preserve">Robô sem bola</t>
  </si>
  <si>
    <t xml:space="preserve">Ficar quieto caso robô do próprio time já tenha bola. Caso contrário todos os robôs devem procurá-la. Ao achar param de se movimentar ou vou para sua posição esperada do início do jogo ou mediante de onde a bola está.</t>
  </si>
  <si>
    <t xml:space="preserve">Planejamento de caminhos</t>
  </si>
  <si>
    <t xml:space="preserve">Obstrução de caminhar</t>
  </si>
  <si>
    <t xml:space="preserve">Robô pode obstruir a passagem do robô inimigo em regiões em que o inimigo deseja ir atrás da bola mas que estão distantes da mesma.</t>
  </si>
  <si>
    <t xml:space="preserve">Áreas (células) do campo visíveis e transitáveis. Áreas onde robôs amigos e inimigos estão.</t>
  </si>
  <si>
    <t xml:space="preserve">Abordagem / Modelagem de Agentes?</t>
  </si>
  <si>
    <t xml:space="preserve">Máquina de estado finito</t>
  </si>
  <si>
    <t xml:space="preserve">Papéis e estratégias de robôs: Keeper, deffenser, supporter, breaking supporter e striker.</t>
  </si>
  <si>
    <t xml:space="preserve">Monitoramento</t>
  </si>
  <si>
    <t xml:space="preserve">Programa para monitorar o estado do robô</t>
  </si>
  <si>
    <t xml:space="preserve">nível de bateria</t>
  </si>
  <si>
    <t xml:space="preserve">força de sinal Wi-Fi</t>
  </si>
  <si>
    <t xml:space="preserve">estado físico: se em pé, caído ou levantando</t>
  </si>
  <si>
    <t xml:space="preserve">robô possui a bola: sim; não mas a achou; não e não a encontrou ainda</t>
  </si>
  <si>
    <t xml:space="preserve">temperatura' das junções</t>
  </si>
  <si>
    <t xml:space="preserve">IP</t>
  </si>
  <si>
    <t xml:space="preserve">reiniciar programa de controle do robô</t>
  </si>
  <si>
    <t xml:space="preserve">cores nos leds</t>
  </si>
  <si>
    <t xml:space="preserve">Localização</t>
  </si>
  <si>
    <t xml:space="preserve">Auto-localização</t>
  </si>
  <si>
    <t xml:space="preserve">do robô no campo</t>
  </si>
  <si>
    <t xml:space="preserve">Localização baseada em wireless? Filtro de partículas, filtro de Kalman?</t>
  </si>
  <si>
    <t xml:space="preserve">dos robôs amigos no campo</t>
  </si>
  <si>
    <t xml:space="preserve">dos robôs inimigos no campo</t>
  </si>
  <si>
    <t xml:space="preserve">da bola</t>
  </si>
  <si>
    <t xml:space="preserve">dos gols</t>
  </si>
  <si>
    <t xml:space="preserve">Inteligência Artificial</t>
  </si>
  <si>
    <t xml:space="preserve">Colaboração</t>
  </si>
  <si>
    <t xml:space="preserve">Aprendizado de máquina</t>
  </si>
  <si>
    <t xml:space="preserve">Tomada de decisão</t>
  </si>
  <si>
    <t xml:space="preserve">Maquiná de estados finitos</t>
  </si>
  <si>
    <t xml:space="preserve">Abordagens de engenharia de software?</t>
  </si>
  <si>
    <t xml:space="preserve">Comunicação entre o time</t>
  </si>
  <si>
    <t xml:space="preserve">Comunicação infravermelho</t>
  </si>
  <si>
    <t xml:space="preserve">Comportamentos são, penso eu, chutar bola, defender gol, etc…</t>
  </si>
  <si>
    <t xml:space="preserve">Modelagem de mundo (por exemplo, auto-localização)</t>
  </si>
  <si>
    <t xml:space="preserve">Sistemas multi-agentes autônomos</t>
  </si>
  <si>
    <t xml:space="preserve">Matlab para Processamento de Imagem?</t>
  </si>
  <si>
    <t xml:space="preserve">A Alemanha tem um evento anual da Robocup SPL. Quem sabe no Brasil a gente não consegue fazer daqui a alguns anos?</t>
  </si>
  <si>
    <t xml:space="preserve">Na nossa equipe deveria haver espaço para patrocinadores?</t>
  </si>
  <si>
    <t xml:space="preserve">Precisamos fazer um site da equipe.</t>
  </si>
  <si>
    <t xml:space="preserve">Especulo que após esse projeto eu poderia disponibilizar num site diretrizes gerais de como conduzir trabalhos nessa área de futebol de robôs humanoides, com base no que tenho feito nesse projeto. Isso pode ajudar outros grupos brasileiros que tenham interesse em trabalhar na SPL.</t>
  </si>
  <si>
    <t xml:space="preserve">Acho que para se trabalhar na SPL deve-se buscar pessoas da área de Ciências de Computação dado que não há necessidade de trabalho com hardware, só com software.</t>
  </si>
  <si>
    <t xml:space="preserve">Para traduzir sites do alemão ao inglês é só usar o Google Translator</t>
  </si>
  <si>
    <t xml:space="preserve">Não há um simulador apropriado pra categoria SPL? Digo com relação ao tamanho do campo, bola...</t>
  </si>
  <si>
    <t xml:space="preserve">O que vamos precisar estudar:</t>
  </si>
  <si>
    <t xml:space="preserve">Visão Computacional.</t>
  </si>
  <si>
    <t xml:space="preserve">Aprofundar-se em C++.</t>
  </si>
  <si>
    <t xml:space="preserve">IA</t>
  </si>
  <si>
    <t xml:space="preserve">Wikipedia, RoboCup Standard Platform League</t>
  </si>
  <si>
    <t xml:space="preserve">https://en.wikipedia.org/wiki/RoboCup_Standard_Platform_League</t>
  </si>
  <si>
    <t xml:space="preserve">Robocup</t>
  </si>
  <si>
    <t xml:space="preserve">http://www.robocup.org/</t>
  </si>
  <si>
    <t xml:space="preserve">Nao robot</t>
  </si>
  <si>
    <t xml:space="preserve">https://www.softbankrobotics.com/emea/en/nao</t>
  </si>
  <si>
    <t xml:space="preserve">Standard Plataform League</t>
  </si>
  <si>
    <t xml:space="preserve">http://spl.robocup.org/</t>
  </si>
  <si>
    <t xml:space="preserve">Standard Platform League Overview</t>
  </si>
  <si>
    <t xml:space="preserve">https://spl.robocup.org/history/</t>
  </si>
  <si>
    <t xml:space="preserve">Active SPL Teams Worldwide</t>
  </si>
  <si>
    <t xml:space="preserve">https://spl.robocup.org/teams/</t>
  </si>
  <si>
    <t xml:space="preserve">Open Source</t>
  </si>
  <si>
    <t xml:space="preserve">https://spl.robocup.org/open-source/</t>
  </si>
  <si>
    <t xml:space="preserve">Research</t>
  </si>
  <si>
    <t xml:space="preserve">https://spl.robocup.org/research/</t>
  </si>
  <si>
    <t xml:space="preserve">V6 Support</t>
  </si>
  <si>
    <t xml:space="preserve">https://spl.robocup.org/v6-support/</t>
  </si>
  <si>
    <t xml:space="preserve">Robot teams</t>
  </si>
  <si>
    <t xml:space="preserve">5 players</t>
  </si>
  <si>
    <t xml:space="preserve">Field</t>
  </si>
  <si>
    <t xml:space="preserve">Nine meters long and six meters wide.</t>
  </si>
  <si>
    <t xml:space="preserve">Game</t>
  </si>
  <si>
    <t xml:space="preserve">The game has two halves, each ten minutes long. In between there is a ten minute break where we can cool down, recharge and are taken care of by the humans.</t>
  </si>
</sst>
</file>

<file path=xl/styles.xml><?xml version="1.0" encoding="utf-8"?>
<styleSheet xmlns="http://schemas.openxmlformats.org/spreadsheetml/2006/main">
  <numFmts count="1">
    <numFmt numFmtId="164" formatCode="General"/>
  </numFmts>
  <fonts count="23">
    <font>
      <sz val="10"/>
      <color rgb="FF000000"/>
      <name val="Arial"/>
      <family val="0"/>
      <charset val="1"/>
    </font>
    <font>
      <sz val="10"/>
      <name val="Arial"/>
      <family val="0"/>
    </font>
    <font>
      <sz val="10"/>
      <name val="Arial"/>
      <family val="0"/>
    </font>
    <font>
      <sz val="10"/>
      <name val="Arial"/>
      <family val="0"/>
    </font>
    <font>
      <b val="true"/>
      <sz val="18"/>
      <name val="Cambria"/>
      <family val="0"/>
      <charset val="1"/>
    </font>
    <font>
      <b val="true"/>
      <sz val="11"/>
      <name val="Cambria"/>
      <family val="0"/>
      <charset val="1"/>
    </font>
    <font>
      <b val="true"/>
      <sz val="11"/>
      <color rgb="FF000000"/>
      <name val="Cambria"/>
      <family val="0"/>
      <charset val="1"/>
    </font>
    <font>
      <sz val="11"/>
      <color rgb="FF000000"/>
      <name val="Arial"/>
      <family val="0"/>
      <charset val="1"/>
    </font>
    <font>
      <sz val="11"/>
      <name val="Cambria"/>
      <family val="0"/>
      <charset val="1"/>
    </font>
    <font>
      <u val="single"/>
      <sz val="11"/>
      <color rgb="FF0000FF"/>
      <name val="Cambria"/>
      <family val="0"/>
      <charset val="1"/>
    </font>
    <font>
      <sz val="11"/>
      <color rgb="FF000000"/>
      <name val="Cambria"/>
      <family val="0"/>
      <charset val="1"/>
    </font>
    <font>
      <sz val="11"/>
      <color rgb="FF000000"/>
      <name val="Calibri"/>
      <family val="0"/>
      <charset val="1"/>
    </font>
    <font>
      <sz val="12"/>
      <name val="Arial"/>
      <family val="0"/>
      <charset val="1"/>
    </font>
    <font>
      <b val="true"/>
      <sz val="11"/>
      <color rgb="FF3C3C3C"/>
      <name val="Cambria"/>
      <family val="0"/>
      <charset val="1"/>
    </font>
    <font>
      <sz val="10"/>
      <color rgb="FF3C3C3C"/>
      <name val="Cambria"/>
      <family val="0"/>
      <charset val="1"/>
    </font>
    <font>
      <sz val="10"/>
      <name val="Cambria"/>
      <family val="0"/>
      <charset val="1"/>
    </font>
    <font>
      <i val="true"/>
      <sz val="10"/>
      <name val="Cambria"/>
      <family val="0"/>
      <charset val="1"/>
    </font>
    <font>
      <sz val="10"/>
      <name val="Arial"/>
      <family val="2"/>
    </font>
    <font>
      <sz val="10"/>
      <color rgb="FF000000"/>
      <name val="Roboto"/>
      <family val="2"/>
    </font>
    <font>
      <sz val="10"/>
      <name val="Arial"/>
      <family val="0"/>
      <charset val="1"/>
    </font>
    <font>
      <b val="true"/>
      <u val="single"/>
      <sz val="11"/>
      <name val="Cambria"/>
      <family val="0"/>
      <charset val="1"/>
    </font>
    <font>
      <b val="true"/>
      <u val="single"/>
      <sz val="10"/>
      <name val="Arial"/>
      <family val="0"/>
      <charset val="1"/>
    </font>
    <font>
      <b val="true"/>
      <sz val="10"/>
      <name val="Arial"/>
      <family val="0"/>
      <charset val="1"/>
    </font>
  </fonts>
  <fills count="9">
    <fill>
      <patternFill patternType="none"/>
    </fill>
    <fill>
      <patternFill patternType="gray125"/>
    </fill>
    <fill>
      <patternFill patternType="solid">
        <fgColor rgb="FF00FF00"/>
        <bgColor rgb="FF33CCCC"/>
      </patternFill>
    </fill>
    <fill>
      <patternFill patternType="solid">
        <fgColor rgb="FFFFFF00"/>
        <bgColor rgb="FFFFFF00"/>
      </patternFill>
    </fill>
    <fill>
      <patternFill patternType="solid">
        <fgColor rgb="FFCCCCCC"/>
        <bgColor rgb="FFB7B7B7"/>
      </patternFill>
    </fill>
    <fill>
      <patternFill patternType="solid">
        <fgColor rgb="FFFF9900"/>
        <bgColor rgb="FFF4B400"/>
      </patternFill>
    </fill>
    <fill>
      <patternFill patternType="solid">
        <fgColor rgb="FF00FFFF"/>
        <bgColor rgb="FF00FFFF"/>
      </patternFill>
    </fill>
    <fill>
      <patternFill patternType="solid">
        <fgColor rgb="FFD0E6FF"/>
        <bgColor rgb="FFCCFFFF"/>
      </patternFill>
    </fill>
    <fill>
      <patternFill patternType="solid">
        <fgColor rgb="FFFFFFFF"/>
        <bgColor rgb="FFFFFFCC"/>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color rgb="FFCCCCCC"/>
      </left>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bottom/>
      <diagonal/>
    </border>
    <border diagonalUp="false" diagonalDown="false">
      <left/>
      <right style="thin"/>
      <top style="thin"/>
      <bottom/>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5" fillId="3" borderId="3" xfId="0" applyFont="true" applyBorder="true" applyAlignment="true" applyProtection="false">
      <alignment horizontal="center" vertical="center" textRotation="0" wrapText="true" indent="0" shrinkToFit="false"/>
      <protection locked="true" hidden="false"/>
    </xf>
    <xf numFmtId="164" fontId="5" fillId="3" borderId="3" xfId="0" applyFont="true" applyBorder="true" applyAlignment="true" applyProtection="false">
      <alignment horizontal="left" vertical="center" textRotation="0" wrapText="true" indent="0" shrinkToFit="false"/>
      <protection locked="true" hidden="false"/>
    </xf>
    <xf numFmtId="164" fontId="5" fillId="3" borderId="4" xfId="0" applyFont="true" applyBorder="true" applyAlignment="true" applyProtection="false">
      <alignment horizontal="left" vertical="center" textRotation="0" wrapText="true" indent="0" shrinkToFit="false"/>
      <protection locked="true" hidden="false"/>
    </xf>
    <xf numFmtId="164" fontId="5" fillId="3" borderId="4"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64" fontId="9" fillId="0" borderId="3" xfId="0" applyFont="true" applyBorder="tru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left" vertical="bottom" textRotation="0" wrapText="false" indent="0" shrinkToFit="false"/>
      <protection locked="true" hidden="false"/>
    </xf>
    <xf numFmtId="164" fontId="8" fillId="0" borderId="3" xfId="0" applyFont="true" applyBorder="true" applyAlignment="true" applyProtection="false">
      <alignment horizontal="center" vertical="bottom" textRotation="0" wrapText="false" indent="0" shrinkToFit="false"/>
      <protection locked="true" hidden="false"/>
    </xf>
    <xf numFmtId="164" fontId="8" fillId="0" borderId="4" xfId="0" applyFont="true" applyBorder="tru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0" fillId="4" borderId="2" xfId="0" applyFont="true" applyBorder="true" applyAlignment="true" applyProtection="false">
      <alignment horizontal="center" vertical="bottom" textRotation="0" wrapText="false" indent="0" shrinkToFit="false"/>
      <protection locked="true" hidden="false"/>
    </xf>
    <xf numFmtId="164" fontId="7" fillId="0" borderId="3" xfId="0" applyFont="true" applyBorder="true" applyAlignment="true" applyProtection="false">
      <alignment horizontal="general" vertical="bottom" textRotation="0" wrapText="true" indent="0" shrinkToFit="false"/>
      <protection locked="true" hidden="false"/>
    </xf>
    <xf numFmtId="164" fontId="8" fillId="0" borderId="3" xfId="0" applyFont="true" applyBorder="tru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center" vertical="bottom" textRotation="0" wrapText="false" indent="0" shrinkToFit="false"/>
      <protection locked="true" hidden="false"/>
    </xf>
    <xf numFmtId="164" fontId="10" fillId="0" borderId="2" xfId="0" applyFont="true" applyBorder="true" applyAlignment="true" applyProtection="false">
      <alignment horizontal="center" vertical="bottom" textRotation="0" wrapText="false" indent="0" shrinkToFit="false"/>
      <protection locked="true" hidden="false"/>
    </xf>
    <xf numFmtId="164" fontId="8" fillId="0" borderId="3"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8" fillId="4" borderId="0" xfId="0" applyFont="true" applyBorder="false" applyAlignment="true" applyProtection="false">
      <alignment horizontal="left" vertical="bottom" textRotation="0" wrapText="false" indent="0" shrinkToFit="false"/>
      <protection locked="true" hidden="false"/>
    </xf>
    <xf numFmtId="164" fontId="7" fillId="4" borderId="0" xfId="0" applyFont="true" applyBorder="false" applyAlignment="true" applyProtection="false">
      <alignment horizontal="left" vertical="bottom" textRotation="0" wrapText="false" indent="0" shrinkToFit="false"/>
      <protection locked="true" hidden="false"/>
    </xf>
    <xf numFmtId="164" fontId="7" fillId="4" borderId="5" xfId="0" applyFont="true" applyBorder="true" applyAlignment="true" applyProtection="false">
      <alignment horizontal="left"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7" fillId="0" borderId="5" xfId="0" applyFont="true" applyBorder="true" applyAlignment="true" applyProtection="false">
      <alignment horizontal="right" vertical="bottom" textRotation="0" wrapText="false" indent="0" shrinkToFit="false"/>
      <protection locked="true" hidden="false"/>
    </xf>
    <xf numFmtId="164" fontId="7" fillId="0" borderId="5" xfId="0" applyFont="true" applyBorder="true" applyAlignment="true" applyProtection="false">
      <alignment horizontal="left"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7" fillId="6" borderId="5" xfId="0" applyFont="true" applyBorder="true" applyAlignment="true" applyProtection="false">
      <alignment horizontal="right" vertical="bottom" textRotation="0" wrapText="false" indent="0" shrinkToFit="false"/>
      <protection locked="true" hidden="false"/>
    </xf>
    <xf numFmtId="164" fontId="7" fillId="6" borderId="5" xfId="0" applyFont="true" applyBorder="true" applyAlignment="true" applyProtection="false">
      <alignment horizontal="general" vertical="bottom" textRotation="0" wrapText="false" indent="0" shrinkToFit="false"/>
      <protection locked="true" hidden="false"/>
    </xf>
    <xf numFmtId="164" fontId="7" fillId="6" borderId="5" xfId="0" applyFont="true" applyBorder="true" applyAlignment="true" applyProtection="false">
      <alignment horizontal="left" vertical="bottom" textRotation="0" wrapText="false" indent="0" shrinkToFit="false"/>
      <protection locked="true" hidden="false"/>
    </xf>
    <xf numFmtId="164" fontId="7" fillId="6" borderId="5" xfId="0" applyFont="true" applyBorder="true" applyAlignment="true" applyProtection="false">
      <alignment horizontal="left" vertical="bottom" textRotation="0" wrapText="tru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8" fillId="0" borderId="4" xfId="0" applyFont="true" applyBorder="true" applyAlignment="true" applyProtection="false">
      <alignment horizontal="left" vertical="center" textRotation="0" wrapText="false" indent="0" shrinkToFit="false"/>
      <protection locked="true" hidden="false"/>
    </xf>
    <xf numFmtId="164" fontId="15" fillId="3"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5"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20" fillId="0" borderId="6" xfId="0" applyFont="true" applyBorder="true" applyAlignment="true" applyProtection="false">
      <alignment horizontal="center" vertical="bottom" textRotation="0" wrapText="false" indent="0" shrinkToFit="false"/>
      <protection locked="true" hidden="false"/>
    </xf>
    <xf numFmtId="164" fontId="20" fillId="0" borderId="7" xfId="0" applyFont="true" applyBorder="true" applyAlignment="true" applyProtection="false">
      <alignment horizontal="center" vertical="bottom" textRotation="0" wrapText="false" indent="0" shrinkToFit="false"/>
      <protection locked="true" hidden="false"/>
    </xf>
    <xf numFmtId="164" fontId="20" fillId="0" borderId="8" xfId="0" applyFont="true" applyBorder="true" applyAlignment="true" applyProtection="false">
      <alignment horizontal="center"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0" fillId="6" borderId="2" xfId="0" applyFont="true" applyBorder="true" applyAlignment="true" applyProtection="false">
      <alignment horizontal="general" vertical="bottom" textRotation="0" wrapText="false" indent="0" shrinkToFit="false"/>
      <protection locked="true" hidden="false"/>
    </xf>
    <xf numFmtId="164" fontId="6" fillId="3" borderId="3" xfId="0" applyFont="true" applyBorder="true" applyAlignment="true" applyProtection="false">
      <alignment horizontal="center"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64" fontId="10" fillId="3" borderId="3" xfId="0" applyFont="true" applyBorder="true" applyAlignment="true" applyProtection="false">
      <alignment horizontal="general" vertical="bottom" textRotation="0" wrapText="false" indent="0" shrinkToFit="false"/>
      <protection locked="true" hidden="false"/>
    </xf>
    <xf numFmtId="164" fontId="10" fillId="4" borderId="3" xfId="0" applyFont="true" applyBorder="true" applyAlignment="true" applyProtection="false">
      <alignment horizontal="general" vertical="bottom" textRotation="0" wrapText="false" indent="0" shrinkToFit="false"/>
      <protection locked="true" hidden="false"/>
    </xf>
    <xf numFmtId="164" fontId="10" fillId="5" borderId="3" xfId="0" applyFont="true" applyBorder="true" applyAlignment="true" applyProtection="false">
      <alignment horizontal="general" vertical="bottom" textRotation="0" wrapText="false" indent="0" shrinkToFit="false"/>
      <protection locked="true" hidden="false"/>
    </xf>
    <xf numFmtId="164" fontId="10" fillId="0" borderId="3" xfId="0" applyFont="true" applyBorder="true" applyAlignment="fals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10" fillId="4" borderId="3" xfId="0" applyFont="true" applyBorder="true" applyAlignment="true" applyProtection="false">
      <alignment horizontal="center" vertical="bottom" textRotation="0" wrapText="false" indent="0" shrinkToFit="false"/>
      <protection locked="true" hidden="false"/>
    </xf>
    <xf numFmtId="164" fontId="10" fillId="5" borderId="3" xfId="0" applyFont="true" applyBorder="true" applyAlignment="true" applyProtection="false">
      <alignment horizontal="center" vertical="bottom" textRotation="0" wrapText="false" indent="0" shrinkToFit="false"/>
      <protection locked="true" hidden="false"/>
    </xf>
    <xf numFmtId="164" fontId="8" fillId="5" borderId="0" xfId="0" applyFont="true" applyBorder="false" applyAlignment="true" applyProtection="false">
      <alignment horizontal="general" vertical="center" textRotation="0" wrapText="false" indent="0" shrinkToFit="false"/>
      <protection locked="true" hidden="false"/>
    </xf>
    <xf numFmtId="164" fontId="10" fillId="8" borderId="3" xfId="0" applyFont="true" applyBorder="true" applyAlignment="true" applyProtection="false">
      <alignment horizontal="center"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center" vertical="bottom" textRotation="0" wrapText="false" indent="0" shrinkToFit="false"/>
      <protection locked="true" hidden="false"/>
    </xf>
    <xf numFmtId="164" fontId="21" fillId="6" borderId="1" xfId="0" applyFont="true" applyBorder="true" applyAlignment="true" applyProtection="false">
      <alignment horizontal="center" vertical="center" textRotation="0" wrapText="false" indent="0" shrinkToFit="false"/>
      <protection locked="true" hidden="false"/>
    </xf>
    <xf numFmtId="164" fontId="22" fillId="0" borderId="2" xfId="0" applyFont="true" applyBorder="true" applyAlignment="true" applyProtection="false">
      <alignment horizontal="center" vertical="center" textRotation="0" wrapText="false" indent="0" shrinkToFit="false"/>
      <protection locked="true" hidden="false"/>
    </xf>
    <xf numFmtId="164" fontId="19" fillId="0" borderId="3" xfId="0" applyFont="true" applyBorder="true" applyAlignment="true" applyProtection="false">
      <alignment horizontal="general" vertical="center" textRotation="0" wrapText="true" indent="0" shrinkToFit="false"/>
      <protection locked="true" hidden="false"/>
    </xf>
    <xf numFmtId="164" fontId="19" fillId="0" borderId="3" xfId="0" applyFont="true" applyBorder="true" applyAlignment="true" applyProtection="false">
      <alignment horizontal="general" vertical="bottom" textRotation="0" wrapText="false" indent="0" shrinkToFit="false"/>
      <protection locked="true" hidden="false"/>
    </xf>
    <xf numFmtId="164" fontId="19" fillId="0" borderId="4" xfId="0" applyFont="true" applyBorder="true" applyAlignment="true" applyProtection="false">
      <alignment horizontal="general" vertical="bottom" textRotation="0" wrapText="false" indent="0" shrinkToFit="false"/>
      <protection locked="true" hidden="false"/>
    </xf>
    <xf numFmtId="164" fontId="19" fillId="0" borderId="4" xfId="0" applyFont="true" applyBorder="true" applyAlignment="false" applyProtection="false">
      <alignment horizontal="general" vertical="bottom" textRotation="0" wrapText="false" indent="0" shrinkToFit="false"/>
      <protection locked="true" hidden="false"/>
    </xf>
    <xf numFmtId="164" fontId="19" fillId="0" borderId="3" xfId="0" applyFont="true" applyBorder="true" applyAlignment="true" applyProtection="false">
      <alignment horizontal="general" vertical="center" textRotation="0" wrapText="false" indent="0" shrinkToFit="false"/>
      <protection locked="true" hidden="false"/>
    </xf>
    <xf numFmtId="164" fontId="19" fillId="0" borderId="3" xfId="0" applyFont="true" applyBorder="true" applyAlignment="false" applyProtection="false">
      <alignment horizontal="general" vertical="bottom" textRotation="0" wrapText="false" indent="0" shrinkToFit="false"/>
      <protection locked="true" hidden="false"/>
    </xf>
    <xf numFmtId="164" fontId="19" fillId="0" borderId="9" xfId="0" applyFont="true" applyBorder="true" applyAlignment="true" applyProtection="false">
      <alignment horizontal="general" vertical="bottom" textRotation="0" wrapText="false" indent="0" shrinkToFit="false"/>
      <protection locked="true" hidden="false"/>
    </xf>
    <xf numFmtId="164" fontId="19" fillId="0" borderId="9" xfId="0" applyFont="true" applyBorder="true" applyAlignment="false" applyProtection="false">
      <alignment horizontal="general" vertical="bottom" textRotation="0" wrapText="false" indent="0" shrinkToFit="false"/>
      <protection locked="true" hidden="false"/>
    </xf>
    <xf numFmtId="164" fontId="19" fillId="0" borderId="10" xfId="0" applyFont="true" applyBorder="true" applyAlignment="false" applyProtection="false">
      <alignment horizontal="general" vertical="bottom" textRotation="0" wrapText="false" indent="0" shrinkToFit="false"/>
      <protection locked="true" hidden="false"/>
    </xf>
    <xf numFmtId="164" fontId="22" fillId="0" borderId="11" xfId="0" applyFont="true" applyBorder="true" applyAlignment="true" applyProtection="false">
      <alignment horizontal="general" vertical="center" textRotation="0" wrapText="false" indent="0" shrinkToFit="false"/>
      <protection locked="true" hidden="false"/>
    </xf>
    <xf numFmtId="164" fontId="19" fillId="0" borderId="9" xfId="0" applyFont="true" applyBorder="true" applyAlignment="true" applyProtection="false">
      <alignment horizontal="general" vertical="center" textRotation="0" wrapText="false" indent="0" shrinkToFit="false"/>
      <protection locked="true" hidden="false"/>
    </xf>
    <xf numFmtId="164" fontId="22" fillId="0" borderId="6" xfId="0" applyFont="true" applyBorder="true" applyAlignment="true" applyProtection="false">
      <alignment horizontal="general" vertical="center" textRotation="0" wrapText="false" indent="0" shrinkToFit="false"/>
      <protection locked="true" hidden="false"/>
    </xf>
    <xf numFmtId="164" fontId="19" fillId="0" borderId="7" xfId="0" applyFont="true" applyBorder="true" applyAlignment="true" applyProtection="false">
      <alignment horizontal="general" vertical="center" textRotation="0" wrapText="false" indent="0" shrinkToFit="false"/>
      <protection locked="true" hidden="false"/>
    </xf>
    <xf numFmtId="164" fontId="19" fillId="0" borderId="7" xfId="0" applyFont="true" applyBorder="true" applyAlignment="true" applyProtection="false">
      <alignment horizontal="general" vertical="bottom" textRotation="0" wrapText="false" indent="0" shrinkToFit="false"/>
      <protection locked="true" hidden="false"/>
    </xf>
    <xf numFmtId="164" fontId="19" fillId="0" borderId="7" xfId="0" applyFont="true" applyBorder="true" applyAlignment="false" applyProtection="false">
      <alignment horizontal="general" vertical="bottom" textRotation="0" wrapText="false" indent="0" shrinkToFit="false"/>
      <protection locked="true" hidden="false"/>
    </xf>
    <xf numFmtId="164" fontId="19" fillId="0" borderId="8" xfId="0" applyFont="true" applyBorder="true" applyAlignment="false" applyProtection="false">
      <alignment horizontal="general" vertical="bottom" textRotation="0" wrapText="false" indent="0" shrinkToFit="false"/>
      <protection locked="true" hidden="false"/>
    </xf>
    <xf numFmtId="164" fontId="22" fillId="0" borderId="6" xfId="0" applyFont="true" applyBorder="true" applyAlignment="true" applyProtection="false">
      <alignment horizontal="center" vertical="center" textRotation="0" wrapText="fals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true" applyProtection="false">
      <alignment horizontal="general" vertical="center" textRotation="0" wrapText="false" indent="0" shrinkToFit="false"/>
      <protection locked="true" hidden="false"/>
    </xf>
    <xf numFmtId="164" fontId="19" fillId="0" borderId="1" xfId="0" applyFont="true" applyBorder="true" applyAlignment="true" applyProtection="false">
      <alignment horizontal="general" vertical="center" textRotation="0" wrapText="false" indent="0" shrinkToFit="false"/>
      <protection locked="true" hidden="false"/>
    </xf>
    <xf numFmtId="164" fontId="22" fillId="0" borderId="2"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general" vertical="center" textRotation="0" wrapText="tru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0E6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285F4"/>
      <rgbColor rgb="FF33CCCC"/>
      <rgbColor rgb="FF99CC00"/>
      <rgbColor rgb="FFF4B400"/>
      <rgbColor rgb="FFFF9900"/>
      <rgbColor rgb="FFDB4437"/>
      <rgbColor rgb="FF666699"/>
      <rgbColor rgb="FF969696"/>
      <rgbColor rgb="FF003366"/>
      <rgbColor rgb="FF339966"/>
      <rgbColor rgb="FF003300"/>
      <rgbColor rgb="FF333300"/>
      <rgbColor rgb="FF993300"/>
      <rgbColor rgb="FF993366"/>
      <rgbColor rgb="FF333399"/>
      <rgbColor rgb="FF3C3C3C"/>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plotArea>
      <c:lineChart>
        <c:grouping val="standard"/>
        <c:varyColors val="0"/>
        <c:ser>
          <c:idx val="0"/>
          <c:order val="0"/>
          <c:spPr>
            <a:solidFill>
              <a:srgbClr val="4285f4"/>
            </a:solidFill>
            <a:ln>
              <a:noFill/>
            </a:ln>
          </c:spPr>
          <c:marker>
            <c:symbol val="circle"/>
            <c:size val="10"/>
            <c:spPr>
              <a:solidFill>
                <a:srgbClr val="4285f4"/>
              </a:solidFill>
            </c:spPr>
          </c:marker>
          <c:dLbls>
            <c:numFmt formatCode="General" sourceLinked="1"/>
            <c:dLblPos val="r"/>
            <c:showLegendKey val="0"/>
            <c:showVal val="1"/>
            <c:showCatName val="0"/>
            <c:showSerName val="0"/>
            <c:showPercent val="0"/>
            <c:showLeaderLines val="0"/>
          </c:dLbls>
          <c:trendline>
            <c:name>Linha de tendência para série 1</c:name>
            <c:spPr>
              <a:ln w="19080">
                <a:solidFill>
                  <a:srgbClr val="000000"/>
                </a:solidFill>
                <a:round/>
              </a:ln>
            </c:spPr>
            <c:trendlineType val="linear"/>
            <c:forward val="0"/>
            <c:backward val="0"/>
            <c:dispRSqr val="0"/>
            <c:dispEq val="0"/>
          </c:trendline>
          <c:cat>
            <c:strRef>
              <c:f>'Teams over time'!$B$8:$B$23</c:f>
              <c:strCache>
                <c:ptCount val="16"/>
                <c:pt idx="0">
                  <c:v>2004</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strCache>
            </c:strRef>
          </c:cat>
          <c:val>
            <c:numRef>
              <c:f>'Teams over time'!$D$8:$D$23</c:f>
              <c:numCache>
                <c:formatCode>General</c:formatCode>
                <c:ptCount val="16"/>
                <c:pt idx="0">
                  <c:v>23</c:v>
                </c:pt>
                <c:pt idx="1">
                  <c:v>24</c:v>
                </c:pt>
                <c:pt idx="2">
                  <c:v>24</c:v>
                </c:pt>
                <c:pt idx="3">
                  <c:v>24</c:v>
                </c:pt>
                <c:pt idx="4">
                  <c:v>25</c:v>
                </c:pt>
                <c:pt idx="5">
                  <c:v>24</c:v>
                </c:pt>
                <c:pt idx="6">
                  <c:v>23</c:v>
                </c:pt>
                <c:pt idx="7">
                  <c:v>27</c:v>
                </c:pt>
                <c:pt idx="8">
                  <c:v>25</c:v>
                </c:pt>
                <c:pt idx="9">
                  <c:v>21</c:v>
                </c:pt>
                <c:pt idx="10">
                  <c:v>25</c:v>
                </c:pt>
                <c:pt idx="11">
                  <c:v>29</c:v>
                </c:pt>
                <c:pt idx="12">
                  <c:v>26</c:v>
                </c:pt>
                <c:pt idx="13">
                  <c:v>24</c:v>
                </c:pt>
                <c:pt idx="14">
                  <c:v>21</c:v>
                </c:pt>
                <c:pt idx="15">
                  <c:v>20</c:v>
                </c:pt>
              </c:numCache>
            </c:numRef>
          </c:val>
          <c:smooth val="1"/>
        </c:ser>
        <c:hiLowLines>
          <c:spPr>
            <a:ln>
              <a:noFill/>
            </a:ln>
          </c:spPr>
        </c:hiLowLines>
        <c:marker val="1"/>
        <c:axId val="76082439"/>
        <c:axId val="22626953"/>
      </c:lineChart>
      <c:catAx>
        <c:axId val="76082439"/>
        <c:scaling>
          <c:orientation val="minMax"/>
        </c:scaling>
        <c:delete val="0"/>
        <c:axPos val="b"/>
        <c:title>
          <c:tx>
            <c:rich>
              <a:bodyPr rot="0"/>
              <a:lstStyle/>
              <a:p>
                <a:pPr>
                  <a:defRPr b="0" sz="1000" spc="-1" strike="noStrike">
                    <a:solidFill>
                      <a:srgbClr val="000000"/>
                    </a:solidFill>
                    <a:latin typeface="Roboto"/>
                  </a:defRPr>
                </a:pPr>
                <a:r>
                  <a:rPr b="0" sz="1000" spc="-1" strike="noStrike">
                    <a:solidFill>
                      <a:srgbClr val="000000"/>
                    </a:solidFill>
                    <a:latin typeface="Roboto"/>
                  </a:rPr>
                  <a:t>Ano</a:t>
                </a:r>
              </a:p>
            </c:rich>
          </c:tx>
          <c:overlay val="0"/>
          <c:spPr>
            <a:noFill/>
            <a:ln>
              <a:noFill/>
            </a:ln>
          </c:spPr>
        </c:title>
        <c:numFmt formatCode="General" sourceLinked="1"/>
        <c:majorTickMark val="none"/>
        <c:minorTickMark val="none"/>
        <c:tickLblPos val="nextTo"/>
        <c:spPr>
          <a:ln>
            <a:noFill/>
          </a:ln>
        </c:spPr>
        <c:txPr>
          <a:bodyPr/>
          <a:lstStyle/>
          <a:p>
            <a:pPr>
              <a:defRPr b="0" sz="1000" spc="-1" strike="noStrike">
                <a:solidFill>
                  <a:srgbClr val="000000"/>
                </a:solidFill>
                <a:latin typeface="Roboto"/>
              </a:defRPr>
            </a:pPr>
          </a:p>
        </c:txPr>
        <c:crossAx val="22626953"/>
        <c:crosses val="autoZero"/>
        <c:auto val="1"/>
        <c:lblAlgn val="ctr"/>
        <c:lblOffset val="100"/>
      </c:catAx>
      <c:valAx>
        <c:axId val="22626953"/>
        <c:scaling>
          <c:orientation val="minMax"/>
        </c:scaling>
        <c:delete val="0"/>
        <c:axPos val="l"/>
        <c:majorGridlines>
          <c:spPr>
            <a:ln>
              <a:solidFill>
                <a:srgbClr val="b7b7b7"/>
              </a:solidFill>
            </a:ln>
          </c:spPr>
        </c:majorGridlines>
        <c:title>
          <c:tx>
            <c:rich>
              <a:bodyPr rot="-5400000"/>
              <a:lstStyle/>
              <a:p>
                <a:pPr>
                  <a:defRPr b="0" sz="1000" spc="-1" strike="noStrike">
                    <a:solidFill>
                      <a:srgbClr val="000000"/>
                    </a:solidFill>
                    <a:latin typeface="Roboto"/>
                  </a:defRPr>
                </a:pPr>
                <a:r>
                  <a:rPr b="0" sz="1000" spc="-1" strike="noStrike">
                    <a:solidFill>
                      <a:srgbClr val="000000"/>
                    </a:solidFill>
                    <a:latin typeface="Roboto"/>
                  </a:rPr>
                  <a:t>Quantidade de times</a:t>
                </a:r>
              </a:p>
            </c:rich>
          </c:tx>
          <c:overlay val="0"/>
          <c:spPr>
            <a:noFill/>
            <a:ln>
              <a:noFill/>
            </a:ln>
          </c:spPr>
        </c:title>
        <c:numFmt formatCode="General" sourceLinked="0"/>
        <c:majorTickMark val="none"/>
        <c:minorTickMark val="none"/>
        <c:tickLblPos val="nextTo"/>
        <c:spPr>
          <a:ln>
            <a:noFill/>
          </a:ln>
        </c:spPr>
        <c:txPr>
          <a:bodyPr/>
          <a:lstStyle/>
          <a:p>
            <a:pPr>
              <a:defRPr b="0" sz="1000" spc="-1" strike="noStrike">
                <a:solidFill>
                  <a:srgbClr val="000000"/>
                </a:solidFill>
                <a:latin typeface="Roboto"/>
              </a:defRPr>
            </a:pPr>
          </a:p>
        </c:txPr>
        <c:crossAx val="76082439"/>
        <c:crosses val="autoZero"/>
        <c:crossBetween val="midCat"/>
      </c:valAx>
      <c:spPr>
        <a:noFill/>
        <a:ln>
          <a:noFill/>
        </a:ln>
      </c:spPr>
    </c:plotArea>
    <c:plotVisOnly val="1"/>
    <c:dispBlanksAs val="zero"/>
  </c:chart>
  <c:spPr>
    <a:solidFill>
      <a:srgbClr val="ffffff"/>
    </a:solidFill>
    <a:ln>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view3D>
      <c:rotX val="15"/>
      <c:rotY val="20"/>
      <c:rAngAx val="1"/>
      <c:perspective val="30"/>
    </c:view3D>
    <c:floor>
      <c:spPr>
        <a:noFill/>
        <a:ln>
          <a:noFill/>
        </a:ln>
      </c:spPr>
    </c:floor>
    <c:sideWall>
      <c:spPr>
        <a:noFill/>
        <a:ln>
          <a:noFill/>
        </a:ln>
      </c:spPr>
    </c:sideWall>
    <c:backWall>
      <c:spPr>
        <a:noFill/>
        <a:ln>
          <a:noFill/>
        </a:ln>
      </c:spPr>
    </c:backWall>
    <c:plotArea>
      <c:bar3DChart>
        <c:barDir val="col"/>
        <c:grouping val="clustered"/>
        <c:varyColors val="0"/>
        <c:ser>
          <c:idx val="0"/>
          <c:order val="0"/>
          <c:tx>
            <c:strRef>
              <c:f>Winners!$P$1:$P$1</c:f>
              <c:strCache>
                <c:ptCount val="1"/>
                <c:pt idx="0">
                  <c:v>First</c:v>
                </c:pt>
              </c:strCache>
            </c:strRef>
          </c:tx>
          <c:spPr>
            <a:solidFill>
              <a:srgbClr val="4285f4"/>
            </a:solidFill>
            <a:ln>
              <a:noFill/>
            </a:ln>
          </c:spPr>
          <c:invertIfNegative val="0"/>
          <c:dLbls>
            <c:numFmt formatCode="General" sourceLinked="1"/>
            <c:showLegendKey val="0"/>
            <c:showVal val="1"/>
            <c:showCatName val="0"/>
            <c:showSerName val="0"/>
            <c:showPercent val="0"/>
            <c:showLeaderLines val="0"/>
          </c:dLbls>
          <c:cat>
            <c:strRef>
              <c:f>Winners!$B$2:$B$12</c:f>
              <c:strCache>
                <c:ptCount val="11"/>
                <c:pt idx="0">
                  <c:v>B-Human</c:v>
                </c:pt>
                <c:pt idx="1">
                  <c:v>Nao Team HTWK</c:v>
                </c:pt>
                <c:pt idx="2">
                  <c:v>rUNSWift</c:v>
                </c:pt>
                <c:pt idx="3">
                  <c:v>Nao Devils Dortmund</c:v>
                </c:pt>
                <c:pt idx="4">
                  <c:v>UT Austin Villa</c:v>
                </c:pt>
                <c:pt idx="5">
                  <c:v>NUManoids</c:v>
                </c:pt>
                <c:pt idx="6">
                  <c:v>Northern Bites</c:v>
                </c:pt>
                <c:pt idx="7">
                  <c:v>GTCMUnited</c:v>
                </c:pt>
                <c:pt idx="8">
                  <c:v>TJArk</c:v>
                </c:pt>
                <c:pt idx="9">
                  <c:v>NTU Robot PAL</c:v>
                </c:pt>
                <c:pt idx="10">
                  <c:v>Kouretes</c:v>
                </c:pt>
              </c:strCache>
            </c:strRef>
          </c:cat>
          <c:val>
            <c:numRef>
              <c:f>Winners!$P$2:$P$12</c:f>
              <c:numCache>
                <c:formatCode>General</c:formatCode>
                <c:ptCount val="11"/>
                <c:pt idx="0">
                  <c:v>6</c:v>
                </c:pt>
                <c:pt idx="1">
                  <c:v>1</c:v>
                </c:pt>
                <c:pt idx="2">
                  <c:v>2</c:v>
                </c:pt>
                <c:pt idx="3">
                  <c:v>1</c:v>
                </c:pt>
                <c:pt idx="4">
                  <c:v>1</c:v>
                </c:pt>
                <c:pt idx="5">
                  <c:v>1</c:v>
                </c:pt>
                <c:pt idx="6">
                  <c:v>0</c:v>
                </c:pt>
                <c:pt idx="7">
                  <c:v>0</c:v>
                </c:pt>
                <c:pt idx="8">
                  <c:v>0</c:v>
                </c:pt>
                <c:pt idx="9">
                  <c:v>0</c:v>
                </c:pt>
                <c:pt idx="10">
                  <c:v>0</c:v>
                </c:pt>
              </c:numCache>
            </c:numRef>
          </c:val>
        </c:ser>
        <c:ser>
          <c:idx val="1"/>
          <c:order val="1"/>
          <c:tx>
            <c:strRef>
              <c:f>Winners!$Q$1:$Q$1</c:f>
              <c:strCache>
                <c:ptCount val="1"/>
                <c:pt idx="0">
                  <c:v>Second</c:v>
                </c:pt>
              </c:strCache>
            </c:strRef>
          </c:tx>
          <c:spPr>
            <a:solidFill>
              <a:srgbClr val="db4437"/>
            </a:solidFill>
            <a:ln>
              <a:noFill/>
            </a:ln>
          </c:spPr>
          <c:invertIfNegative val="0"/>
          <c:dLbls>
            <c:numFmt formatCode="General" sourceLinked="1"/>
            <c:showLegendKey val="0"/>
            <c:showVal val="1"/>
            <c:showCatName val="0"/>
            <c:showSerName val="0"/>
            <c:showPercent val="0"/>
            <c:showLeaderLines val="0"/>
          </c:dLbls>
          <c:cat>
            <c:strRef>
              <c:f>Winners!$B$2:$B$12</c:f>
              <c:strCache>
                <c:ptCount val="11"/>
                <c:pt idx="0">
                  <c:v>B-Human</c:v>
                </c:pt>
                <c:pt idx="1">
                  <c:v>Nao Team HTWK</c:v>
                </c:pt>
                <c:pt idx="2">
                  <c:v>rUNSWift</c:v>
                </c:pt>
                <c:pt idx="3">
                  <c:v>Nao Devils Dortmund</c:v>
                </c:pt>
                <c:pt idx="4">
                  <c:v>UT Austin Villa</c:v>
                </c:pt>
                <c:pt idx="5">
                  <c:v>NUManoids</c:v>
                </c:pt>
                <c:pt idx="6">
                  <c:v>Northern Bites</c:v>
                </c:pt>
                <c:pt idx="7">
                  <c:v>GTCMUnited</c:v>
                </c:pt>
                <c:pt idx="8">
                  <c:v>TJArk</c:v>
                </c:pt>
                <c:pt idx="9">
                  <c:v>NTU Robot PAL</c:v>
                </c:pt>
                <c:pt idx="10">
                  <c:v>Kouretes</c:v>
                </c:pt>
              </c:strCache>
            </c:strRef>
          </c:cat>
          <c:val>
            <c:numRef>
              <c:f>Winners!$Q$2:$Q$12</c:f>
              <c:numCache>
                <c:formatCode>General</c:formatCode>
                <c:ptCount val="11"/>
                <c:pt idx="0">
                  <c:v>4</c:v>
                </c:pt>
                <c:pt idx="1">
                  <c:v>3</c:v>
                </c:pt>
                <c:pt idx="2">
                  <c:v>1</c:v>
                </c:pt>
                <c:pt idx="3">
                  <c:v>1</c:v>
                </c:pt>
                <c:pt idx="4">
                  <c:v>1</c:v>
                </c:pt>
                <c:pt idx="5">
                  <c:v>0</c:v>
                </c:pt>
                <c:pt idx="6">
                  <c:v>1</c:v>
                </c:pt>
                <c:pt idx="7">
                  <c:v>1</c:v>
                </c:pt>
                <c:pt idx="8">
                  <c:v>0</c:v>
                </c:pt>
                <c:pt idx="9">
                  <c:v>0</c:v>
                </c:pt>
                <c:pt idx="10">
                  <c:v>0</c:v>
                </c:pt>
              </c:numCache>
            </c:numRef>
          </c:val>
        </c:ser>
        <c:ser>
          <c:idx val="2"/>
          <c:order val="2"/>
          <c:tx>
            <c:strRef>
              <c:f>Winners!$R$1:$R$1</c:f>
              <c:strCache>
                <c:ptCount val="1"/>
                <c:pt idx="0">
                  <c:v>Third</c:v>
                </c:pt>
              </c:strCache>
            </c:strRef>
          </c:tx>
          <c:spPr>
            <a:solidFill>
              <a:srgbClr val="f4b400"/>
            </a:solidFill>
            <a:ln>
              <a:noFill/>
            </a:ln>
          </c:spPr>
          <c:invertIfNegative val="0"/>
          <c:dLbls>
            <c:numFmt formatCode="General" sourceLinked="1"/>
            <c:showLegendKey val="0"/>
            <c:showVal val="1"/>
            <c:showCatName val="0"/>
            <c:showSerName val="0"/>
            <c:showPercent val="0"/>
            <c:showLeaderLines val="0"/>
          </c:dLbls>
          <c:cat>
            <c:strRef>
              <c:f>Winners!$B$2:$B$12</c:f>
              <c:strCache>
                <c:ptCount val="11"/>
                <c:pt idx="0">
                  <c:v>B-Human</c:v>
                </c:pt>
                <c:pt idx="1">
                  <c:v>Nao Team HTWK</c:v>
                </c:pt>
                <c:pt idx="2">
                  <c:v>rUNSWift</c:v>
                </c:pt>
                <c:pt idx="3">
                  <c:v>Nao Devils Dortmund</c:v>
                </c:pt>
                <c:pt idx="4">
                  <c:v>UT Austin Villa</c:v>
                </c:pt>
                <c:pt idx="5">
                  <c:v>NUManoids</c:v>
                </c:pt>
                <c:pt idx="6">
                  <c:v>Northern Bites</c:v>
                </c:pt>
                <c:pt idx="7">
                  <c:v>GTCMUnited</c:v>
                </c:pt>
                <c:pt idx="8">
                  <c:v>TJArk</c:v>
                </c:pt>
                <c:pt idx="9">
                  <c:v>NTU Robot PAL</c:v>
                </c:pt>
                <c:pt idx="10">
                  <c:v>Kouretes</c:v>
                </c:pt>
              </c:strCache>
            </c:strRef>
          </c:cat>
          <c:val>
            <c:numRef>
              <c:f>Winners!$R$2:$R$12</c:f>
              <c:numCache>
                <c:formatCode>General</c:formatCode>
                <c:ptCount val="11"/>
                <c:pt idx="0">
                  <c:v>1</c:v>
                </c:pt>
                <c:pt idx="1">
                  <c:v>2</c:v>
                </c:pt>
                <c:pt idx="2">
                  <c:v>1</c:v>
                </c:pt>
                <c:pt idx="3">
                  <c:v>2</c:v>
                </c:pt>
                <c:pt idx="4">
                  <c:v>2</c:v>
                </c:pt>
                <c:pt idx="5">
                  <c:v>0</c:v>
                </c:pt>
                <c:pt idx="6">
                  <c:v>0</c:v>
                </c:pt>
                <c:pt idx="7">
                  <c:v>0</c:v>
                </c:pt>
                <c:pt idx="8">
                  <c:v>1</c:v>
                </c:pt>
                <c:pt idx="9">
                  <c:v>1</c:v>
                </c:pt>
                <c:pt idx="10">
                  <c:v>1</c:v>
                </c:pt>
              </c:numCache>
            </c:numRef>
          </c:val>
        </c:ser>
        <c:gapWidth val="150"/>
        <c:shape val="box"/>
        <c:axId val="51874223"/>
        <c:axId val="84402808"/>
        <c:axId val="0"/>
      </c:bar3DChart>
      <c:catAx>
        <c:axId val="51874223"/>
        <c:scaling>
          <c:orientation val="minMax"/>
        </c:scaling>
        <c:delete val="0"/>
        <c:axPos val="b"/>
        <c:numFmt formatCode="General" sourceLinked="1"/>
        <c:majorTickMark val="none"/>
        <c:minorTickMark val="none"/>
        <c:tickLblPos val="nextTo"/>
        <c:spPr>
          <a:ln>
            <a:noFill/>
          </a:ln>
        </c:spPr>
        <c:txPr>
          <a:bodyPr/>
          <a:lstStyle/>
          <a:p>
            <a:pPr>
              <a:defRPr b="0" sz="1000" spc="-1" strike="noStrike">
                <a:solidFill>
                  <a:srgbClr val="000000"/>
                </a:solidFill>
                <a:latin typeface="Roboto"/>
              </a:defRPr>
            </a:pPr>
          </a:p>
        </c:txPr>
        <c:crossAx val="84402808"/>
        <c:crosses val="autoZero"/>
        <c:auto val="1"/>
        <c:lblAlgn val="ctr"/>
        <c:lblOffset val="100"/>
      </c:catAx>
      <c:valAx>
        <c:axId val="84402808"/>
        <c:scaling>
          <c:orientation val="minMax"/>
        </c:scaling>
        <c:delete val="0"/>
        <c:axPos val="l"/>
        <c:majorGridlines>
          <c:spPr>
            <a:ln>
              <a:solidFill>
                <a:srgbClr val="b7b7b7"/>
              </a:solidFill>
            </a:ln>
          </c:spPr>
        </c:majorGridlines>
        <c:numFmt formatCode="General" sourceLinked="0"/>
        <c:majorTickMark val="none"/>
        <c:minorTickMark val="none"/>
        <c:tickLblPos val="nextTo"/>
        <c:spPr>
          <a:ln>
            <a:noFill/>
          </a:ln>
        </c:spPr>
        <c:txPr>
          <a:bodyPr/>
          <a:lstStyle/>
          <a:p>
            <a:pPr>
              <a:defRPr b="0" sz="1000" spc="-1" strike="noStrike">
                <a:solidFill>
                  <a:srgbClr val="000000"/>
                </a:solidFill>
                <a:latin typeface="Roboto"/>
              </a:defRPr>
            </a:pPr>
          </a:p>
        </c:txPr>
        <c:crossAx val="51874223"/>
        <c:crosses val="autoZero"/>
      </c:valAx>
    </c:plotArea>
    <c:legend>
      <c:legendPos val="r"/>
      <c:overlay val="0"/>
      <c:spPr>
        <a:noFill/>
        <a:ln>
          <a:noFill/>
        </a:ln>
      </c:spPr>
      <c:txPr>
        <a:bodyPr/>
        <a:lstStyle/>
        <a:p>
          <a:pPr>
            <a:defRPr b="0" sz="1000" spc="-1" strike="noStrike">
              <a:solidFill>
                <a:srgbClr val="000000"/>
              </a:solidFill>
              <a:latin typeface="Roboto"/>
            </a:defRPr>
          </a:pPr>
        </a:p>
      </c:txPr>
    </c:legend>
    <c:plotVisOnly val="1"/>
    <c:dispBlanksAs val="zero"/>
  </c:chart>
  <c:spPr>
    <a:noFill/>
    <a:ln>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66600</xdr:colOff>
      <xdr:row>0</xdr:row>
      <xdr:rowOff>0</xdr:rowOff>
    </xdr:from>
    <xdr:to>
      <xdr:col>13</xdr:col>
      <xdr:colOff>501480</xdr:colOff>
      <xdr:row>19</xdr:row>
      <xdr:rowOff>200160</xdr:rowOff>
    </xdr:to>
    <xdr:graphicFrame>
      <xdr:nvGraphicFramePr>
        <xdr:cNvPr id="0" name="Chart 1"/>
        <xdr:cNvGraphicFramePr/>
      </xdr:nvGraphicFramePr>
      <xdr:xfrm>
        <a:off x="4845600" y="0"/>
        <a:ext cx="10029600" cy="4000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19080</xdr:rowOff>
    </xdr:from>
    <xdr:to>
      <xdr:col>18</xdr:col>
      <xdr:colOff>182160</xdr:colOff>
      <xdr:row>32</xdr:row>
      <xdr:rowOff>190080</xdr:rowOff>
    </xdr:to>
    <xdr:graphicFrame>
      <xdr:nvGraphicFramePr>
        <xdr:cNvPr id="1" name="Chart 2"/>
        <xdr:cNvGraphicFramePr/>
      </xdr:nvGraphicFramePr>
      <xdr:xfrm>
        <a:off x="0" y="2419200"/>
        <a:ext cx="9562680" cy="4171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www.b-human.de/" TargetMode="External"/><Relationship Id="rId2" Type="http://schemas.openxmlformats.org/officeDocument/2006/relationships/hyperlink" Target="http://robolab.cse.unsw.edu.au/robocup/" TargetMode="External"/><Relationship Id="rId3" Type="http://schemas.openxmlformats.org/officeDocument/2006/relationships/hyperlink" Target="https://naodevils.de/" TargetMode="External"/><Relationship Id="rId4" Type="http://schemas.openxmlformats.org/officeDocument/2006/relationships/hyperlink" Target="http://www.cs.utexas.edu/~AustinVilla/?p=nao" TargetMode="External"/><Relationship Id="rId5" Type="http://schemas.openxmlformats.org/officeDocument/2006/relationships/hyperlink" Target="http://www.mipal.net.au/" TargetMode="External"/><Relationship Id="rId6" Type="http://schemas.openxmlformats.org/officeDocument/2006/relationships/hyperlink" Target="http://see.tongji.edu.cn/" TargetMode="External"/><Relationship Id="rId7" Type="http://schemas.openxmlformats.org/officeDocument/2006/relationships/hyperlink" Target="http://rail.tongji.edu.cn/" TargetMode="External"/><Relationship Id="rId8" Type="http://schemas.openxmlformats.org/officeDocument/2006/relationships/hyperlink" Target="http://www.uni-frankfurt.de/" TargetMode="External"/><Relationship Id="rId9" Type="http://schemas.openxmlformats.org/officeDocument/2006/relationships/hyperlink" Target="http://www.bembelbots.de/" TargetMode="External"/><Relationship Id="rId10" Type="http://schemas.openxmlformats.org/officeDocument/2006/relationships/hyperlink" Target="http://naoth.de/" TargetMode="External"/><Relationship Id="rId11" Type="http://schemas.openxmlformats.org/officeDocument/2006/relationships/hyperlink" Target="http://www.tuhh.de/" TargetMode="External"/><Relationship Id="rId12" Type="http://schemas.openxmlformats.org/officeDocument/2006/relationships/hyperlink" Target="http://www.hulks.de/" TargetMode="External"/><Relationship Id="rId13" Type="http://schemas.openxmlformats.org/officeDocument/2006/relationships/hyperlink" Target="https://translate.googleusercontent.com/translate_c?depth=1&amp;hl=pt-BR&amp;rurl=translate.google.com.br&amp;sl=de&amp;sp=nmt4&amp;tl=en&amp;u=https://hulks.de/cdn-cgi/l/email-protection&amp;xid=17259,15700023,15700186,15700191,15700256,15700259,15700262,15700265,15700271,15700283&amp;" TargetMode="External"/><Relationship Id="rId14" Type="http://schemas.openxmlformats.org/officeDocument/2006/relationships/hyperlink" Target="http://www.aichi-pu.ac.jp/eng/" TargetMode="External"/><Relationship Id="rId15" Type="http://schemas.openxmlformats.org/officeDocument/2006/relationships/hyperlink" Target="http://www.ist.aichi-pu.ac.jp/lab/robocup-spl/index.html" TargetMode="External"/><Relationship Id="rId16" Type="http://schemas.openxmlformats.org/officeDocument/2006/relationships/hyperlink" Target="http://www.robocup.ethz.ch/" TargetMode="External"/><Relationship Id="rId17" Type="http://schemas.openxmlformats.org/officeDocument/2006/relationships/hyperlink" Target="mailto:nomadz@ethz.ch" TargetMode="External"/><Relationship Id="rId18" Type="http://schemas.openxmlformats.org/officeDocument/2006/relationships/hyperlink" Target="http://ivi.uva.nl/" TargetMode="External"/><Relationship Id="rId19" Type="http://schemas.openxmlformats.org/officeDocument/2006/relationships/hyperlink" Target="http://dutchnaoteam.nl/" TargetMode="External"/><Relationship Id="rId20" Type="http://schemas.openxmlformats.org/officeDocument/2006/relationships/hyperlink" Target="https://fling.seas.upenn.edu/~robocup/wiki/" TargetMode="External"/><Relationship Id="rId21" Type="http://schemas.openxmlformats.org/officeDocument/2006/relationships/hyperlink" Target="https://en.etsmtl.ca/en/home?lang=en-ca" TargetMode="External"/><Relationship Id="rId22" Type="http://schemas.openxmlformats.org/officeDocument/2006/relationships/hyperlink" Target="https://en.clubnaova.ca/" TargetMode="External"/><Relationship Id="rId23" Type="http://schemas.openxmlformats.org/officeDocument/2006/relationships/hyperlink" Target="http://www.diag.uniroma1.it/en" TargetMode="External"/><Relationship Id="rId24" Type="http://schemas.openxmlformats.org/officeDocument/2006/relationships/hyperlink" Target="http://spqr.diag.uniroma1.it/" TargetMode="External"/><Relationship Id="rId25" Type="http://schemas.openxmlformats.org/officeDocument/2006/relationships/hyperlink" Target="http://www.csie.ntu.edu.tw/" TargetMode="External"/><Relationship Id="rId26" Type="http://schemas.openxmlformats.org/officeDocument/2006/relationships/hyperlink" Target="https://sites.google.com/site/nturobopalspl/" TargetMode="External"/><Relationship Id="rId27" Type="http://schemas.openxmlformats.org/officeDocument/2006/relationships/hyperlink" Target="http://www.roboeireann.ie/" TargetMode="External"/><Relationship Id="rId28" Type="http://schemas.openxmlformats.org/officeDocument/2006/relationships/hyperlink" Target="https://www.unisabana.edu.co/englishversion/" TargetMode="External"/><Relationship Id="rId29" Type="http://schemas.openxmlformats.org/officeDocument/2006/relationships/hyperlink" Target="http://sabanaherons.co/" TargetMode="External"/><Relationship Id="rId30" Type="http://schemas.openxmlformats.org/officeDocument/2006/relationships/hyperlink" Target="https://mipt.ru/" TargetMode="External"/><Relationship Id="rId31" Type="http://schemas.openxmlformats.org/officeDocument/2006/relationships/hyperlink" Target="http://starkit.ru/" TargetMode="External"/><Relationship Id="rId32" Type="http://schemas.openxmlformats.org/officeDocument/2006/relationships/hyperlink" Target="http://uchilert.amtc.cl/" TargetMode="External"/><Relationship Id="rId33" Type="http://schemas.openxmlformats.org/officeDocument/2006/relationships/hyperlink" Target="http://robotica.itam.mx/spl" TargetMode="External"/><Relationship Id="rId34" Type="http://schemas.openxmlformats.org/officeDocument/2006/relationships/hyperlink" Target="http://www.ufjf.br/" TargetMode="External"/><Relationship Id="rId35" Type="http://schemas.openxmlformats.org/officeDocument/2006/relationships/hyperlink" Target="https://www.facebook.com/rinobot/" TargetMode="External"/><Relationship Id="rId36" Type="http://schemas.openxmlformats.org/officeDocument/2006/relationships/hyperlink" Target="https://www.facebook.com/unbeatablesbr" TargetMode="External"/><Relationship Id="rId37" Type="http://schemas.openxmlformats.org/officeDocument/2006/relationships/hyperlink" Target="https://www.engineering.unsw.edu.au/computer-science-engineering/help-resources/students/student-projects/robocup" TargetMode="External"/><Relationship Id="rId38" Type="http://schemas.openxmlformats.org/officeDocument/2006/relationships/hyperlink" Target="http://www.xinke.ldu.edu.cn/" TargetMode="External"/><Relationship Id="rId39" Type="http://schemas.openxmlformats.org/officeDocument/2006/relationships/hyperlink" Target="http://www.wrightocean.org/" TargetMode="External"/><Relationship Id="rId40" Type="http://schemas.openxmlformats.org/officeDocument/2006/relationships/hyperlink" Target="http://qiau.ac.ir/en/" TargetMode="External"/><Relationship Id="rId41" Type="http://schemas.openxmlformats.org/officeDocument/2006/relationships/hyperlink" Target="http://www.er.ams.eng.osaka-u.ac.jp/ichinose/Joitech_HP/" TargetMode="External"/><Relationship Id="rId42" Type="http://schemas.openxmlformats.org/officeDocument/2006/relationships/hyperlink" Target="http://wwwen.uni.lu/" TargetMode="External"/><Relationship Id="rId43" Type="http://schemas.openxmlformats.org/officeDocument/2006/relationships/hyperlink" Target="https://luxembourg-united.uni.lu/" TargetMode="External"/><Relationship Id="rId44" Type="http://schemas.openxmlformats.org/officeDocument/2006/relationships/hyperlink" Target="https://www.ida.liu.se/projects/humanoids,https://www.facebook.com/LiUHumanoids/" TargetMode="External"/><Relationship Id="rId45" Type="http://schemas.openxmlformats.org/officeDocument/2006/relationships/hyperlink" Target="http://www.csie.ntu.edu.tw/" TargetMode="External"/><Relationship Id="rId46" Type="http://schemas.openxmlformats.org/officeDocument/2006/relationships/hyperlink" Target="https://sites.google.com/site/nturobopalspl/" TargetMode="External"/><Relationship Id="rId47" Type="http://schemas.openxmlformats.org/officeDocument/2006/relationships/hyperlink" Target="http://www.cs.miami.edu/" TargetMode="External"/><Relationship Id="rId48" Type="http://schemas.openxmlformats.org/officeDocument/2006/relationships/hyperlink" Target="http://robocanes.cs.miami.edu/" TargetMode="External"/><Relationship Id="rId49" Type="http://schemas.openxmlformats.org/officeDocument/2006/relationships/hyperlink" Target="mailto:robocanes@cs.miami.edu" TargetMode="External"/><Relationship Id="rId50" Type="http://schemas.openxmlformats.org/officeDocument/2006/relationships/hyperlink" Target="http://www.bowdoin.edu/" TargetMode="External"/><Relationship Id="rId51" Type="http://schemas.openxmlformats.org/officeDocument/2006/relationships/hyperlink" Target="http://research.bowdoin.edu/robocup/" TargetMode="External"/><Relationship Id="rId52" Type="http://schemas.openxmlformats.org/officeDocument/2006/relationships/hyperlink" Target="http://icv.ims.ut.ee/" TargetMode="External"/><Relationship Id="rId53" Type="http://schemas.openxmlformats.org/officeDocument/2006/relationships/hyperlink" Target="http://icv.ims.ut.ee/philosopher" TargetMode="External"/><Relationship Id="rId54" Type="http://schemas.openxmlformats.org/officeDocument/2006/relationships/hyperlink" Target="http://rise.smme.nust.edu.pk/" TargetMode="External"/><Relationship Id="rId55" Type="http://schemas.openxmlformats.org/officeDocument/2006/relationships/hyperlink" Target="http://rise.smme.nust.edu.pk/projects/RoboCupSPL/" TargetMode="External"/><Relationship Id="rId56" Type="http://schemas.openxmlformats.org/officeDocument/2006/relationships/hyperlink" Target="mailto:yasar@smme.nust.edu.pk" TargetMode="External"/><Relationship Id="rId57" Type="http://schemas.openxmlformats.org/officeDocument/2006/relationships/hyperlink" Target="https://robocup.ethz.ch/events/z-knipsers-open-house/" TargetMode="External"/><Relationship Id="rId58" Type="http://schemas.openxmlformats.org/officeDocument/2006/relationships/hyperlink" Target="http://www.dainamite.de/" TargetMode="External"/><Relationship Id="rId59" Type="http://schemas.openxmlformats.org/officeDocument/2006/relationships/hyperlink" Target="http://www.austrian-kangaroos.com/,https://www.acin.tuwien.ac.at/en/project/austrian-kangaroos/"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hyperlink" Target="https://en.wikipedia.org/wiki/RoboCup_Standard_Platform_League" TargetMode="External"/><Relationship Id="rId2" Type="http://schemas.openxmlformats.org/officeDocument/2006/relationships/hyperlink" Target="http://www.robocup.org/" TargetMode="External"/><Relationship Id="rId3" Type="http://schemas.openxmlformats.org/officeDocument/2006/relationships/hyperlink" Target="https://www.softbankrobotics.com/emea/en/nao" TargetMode="External"/><Relationship Id="rId4" Type="http://schemas.openxmlformats.org/officeDocument/2006/relationships/hyperlink" Target="http://spl.robocup.org/" TargetMode="External"/><Relationship Id="rId5" Type="http://schemas.openxmlformats.org/officeDocument/2006/relationships/hyperlink" Target="https://spl.robocup.org/history/" TargetMode="External"/><Relationship Id="rId6" Type="http://schemas.openxmlformats.org/officeDocument/2006/relationships/hyperlink" Target="https://spl.robocup.org/teams/" TargetMode="External"/><Relationship Id="rId7" Type="http://schemas.openxmlformats.org/officeDocument/2006/relationships/hyperlink" Target="https://spl.robocup.org/open-source/" TargetMode="External"/><Relationship Id="rId8" Type="http://schemas.openxmlformats.org/officeDocument/2006/relationships/hyperlink" Target="https://spl.robocup.org/research/" TargetMode="External"/><Relationship Id="rId9" Type="http://schemas.openxmlformats.org/officeDocument/2006/relationships/hyperlink" Target="https://spl.robocup.org/v6-support/"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Q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9.14"/>
    <col collapsed="false" customWidth="true" hidden="false" outlineLevel="0" max="2" min="2" style="0" width="44.58"/>
    <col collapsed="false" customWidth="true" hidden="false" outlineLevel="0" max="3" min="3" style="0" width="13.57"/>
    <col collapsed="false" customWidth="true" hidden="false" outlineLevel="0" max="4" min="4" style="0" width="9"/>
    <col collapsed="false" customWidth="true" hidden="false" outlineLevel="0" max="5" min="5" style="0" width="36.3"/>
    <col collapsed="false" customWidth="true" hidden="false" outlineLevel="0" max="6" min="6" style="0" width="13.7"/>
    <col collapsed="false" customWidth="true" hidden="false" outlineLevel="0" max="9" min="7" style="0" width="5.14"/>
    <col collapsed="false" customWidth="true" hidden="false" outlineLevel="0" max="10" min="10" style="0" width="7.71"/>
    <col collapsed="false" customWidth="true" hidden="false" outlineLevel="0" max="11" min="11" style="0" width="16.87"/>
    <col collapsed="false" customWidth="true" hidden="false" outlineLevel="0" max="12" min="12" style="0" width="33.43"/>
    <col collapsed="false" customWidth="true" hidden="false" outlineLevel="0" max="13" min="13" style="0" width="26.29"/>
    <col collapsed="false" customWidth="true" hidden="false" outlineLevel="0" max="14" min="14" style="0" width="27.3"/>
    <col collapsed="false" customWidth="true" hidden="false" outlineLevel="0" max="15" min="15" style="0" width="24"/>
    <col collapsed="false" customWidth="true" hidden="false" outlineLevel="0" max="17" min="16" style="0" width="15.87"/>
    <col collapsed="false" customWidth="true" hidden="false" outlineLevel="0" max="18" min="18" style="0" width="16.43"/>
    <col collapsed="false" customWidth="true" hidden="false" outlineLevel="0" max="19" min="19" style="0" width="16.71"/>
    <col collapsed="false" customWidth="true" hidden="false" outlineLevel="0" max="20" min="20" style="0" width="21.86"/>
    <col collapsed="false" customWidth="true" hidden="false" outlineLevel="0" max="21" min="21" style="0" width="74"/>
    <col collapsed="false" customWidth="true" hidden="false" outlineLevel="0" max="22" min="22" style="0" width="26.29"/>
    <col collapsed="false" customWidth="true" hidden="false" outlineLevel="0" max="23" min="23" style="0" width="11.99"/>
    <col collapsed="false" customWidth="true" hidden="false" outlineLevel="0" max="1025" min="24" style="0" width="14.43"/>
  </cols>
  <sheetData>
    <row r="1" customFormat="false" ht="15.75" hidden="false" customHeight="false" outlineLevel="0" collapsed="false">
      <c r="A1" s="1" t="s">
        <v>0</v>
      </c>
      <c r="B1" s="1"/>
      <c r="C1" s="1"/>
      <c r="D1" s="1"/>
      <c r="E1" s="1"/>
      <c r="F1" s="1"/>
      <c r="G1" s="1"/>
      <c r="H1" s="1"/>
      <c r="I1" s="1"/>
      <c r="J1" s="1"/>
      <c r="K1" s="1"/>
      <c r="L1" s="1"/>
      <c r="M1" s="1"/>
      <c r="N1" s="1"/>
      <c r="O1" s="1"/>
      <c r="P1" s="1"/>
      <c r="Q1" s="1"/>
      <c r="R1" s="1"/>
      <c r="S1" s="1"/>
      <c r="T1" s="1"/>
      <c r="U1" s="1"/>
    </row>
    <row r="2" customFormat="false" ht="15.75" hidden="false" customHeight="false" outlineLevel="0" collapsed="false">
      <c r="A2" s="2" t="s">
        <v>1</v>
      </c>
      <c r="B2" s="3" t="s">
        <v>2</v>
      </c>
      <c r="C2" s="3" t="s">
        <v>3</v>
      </c>
      <c r="D2" s="3" t="s">
        <v>4</v>
      </c>
      <c r="E2" s="3" t="s">
        <v>5</v>
      </c>
      <c r="F2" s="3" t="s">
        <v>6</v>
      </c>
      <c r="G2" s="3" t="n">
        <v>2019</v>
      </c>
      <c r="H2" s="3" t="n">
        <v>2018</v>
      </c>
      <c r="I2" s="3" t="n">
        <v>2017</v>
      </c>
      <c r="J2" s="3" t="n">
        <v>2016</v>
      </c>
      <c r="K2" s="3" t="s">
        <v>7</v>
      </c>
      <c r="L2" s="3" t="s">
        <v>8</v>
      </c>
      <c r="M2" s="4" t="s">
        <v>9</v>
      </c>
      <c r="N2" s="3" t="s">
        <v>10</v>
      </c>
      <c r="O2" s="3" t="s">
        <v>11</v>
      </c>
      <c r="P2" s="4" t="s">
        <v>12</v>
      </c>
      <c r="Q2" s="4" t="s">
        <v>13</v>
      </c>
      <c r="R2" s="3" t="s">
        <v>14</v>
      </c>
      <c r="S2" s="4" t="s">
        <v>15</v>
      </c>
      <c r="T2" s="4" t="s">
        <v>16</v>
      </c>
      <c r="U2" s="5" t="s">
        <v>17</v>
      </c>
      <c r="V2" s="6" t="s">
        <v>18</v>
      </c>
      <c r="W2" s="6" t="s">
        <v>19</v>
      </c>
      <c r="Y2" s="7"/>
      <c r="AB2" s="7"/>
      <c r="AC2" s="7"/>
      <c r="AD2" s="7"/>
      <c r="AE2" s="7"/>
      <c r="AF2" s="7"/>
      <c r="AG2" s="7"/>
      <c r="AH2" s="7"/>
      <c r="AI2" s="7"/>
      <c r="AJ2" s="7"/>
      <c r="AK2" s="7"/>
      <c r="AL2" s="7"/>
      <c r="AM2" s="7"/>
      <c r="AN2" s="7"/>
      <c r="AO2" s="7"/>
      <c r="AP2" s="7"/>
      <c r="AQ2" s="7"/>
    </row>
    <row r="3" customFormat="false" ht="15.75" hidden="false" customHeight="false" outlineLevel="0" collapsed="false">
      <c r="A3" s="8" t="s">
        <v>20</v>
      </c>
      <c r="B3" s="9" t="s">
        <v>21</v>
      </c>
      <c r="C3" s="10" t="s">
        <v>22</v>
      </c>
      <c r="D3" s="11" t="s">
        <v>23</v>
      </c>
      <c r="E3" s="10" t="s">
        <v>24</v>
      </c>
      <c r="F3" s="10" t="n">
        <v>2008</v>
      </c>
      <c r="G3" s="10" t="n">
        <v>1</v>
      </c>
      <c r="H3" s="10" t="n">
        <v>1</v>
      </c>
      <c r="I3" s="10" t="n">
        <v>1</v>
      </c>
      <c r="J3" s="10" t="n">
        <v>1</v>
      </c>
      <c r="K3" s="10" t="n">
        <v>2</v>
      </c>
      <c r="L3" s="10" t="n">
        <v>16</v>
      </c>
      <c r="M3" s="12" t="s">
        <v>25</v>
      </c>
      <c r="N3" s="10" t="n">
        <v>1</v>
      </c>
      <c r="O3" s="10" t="n">
        <v>1</v>
      </c>
      <c r="P3" s="12"/>
      <c r="Q3" s="12" t="n">
        <v>0</v>
      </c>
      <c r="R3" s="13" t="n">
        <v>1</v>
      </c>
      <c r="S3" s="12"/>
      <c r="T3" s="12"/>
      <c r="U3" s="14" t="s">
        <v>26</v>
      </c>
      <c r="V3" s="15" t="s">
        <v>27</v>
      </c>
    </row>
    <row r="4" customFormat="false" ht="15.75" hidden="false" customHeight="false" outlineLevel="0" collapsed="false">
      <c r="A4" s="16" t="s">
        <v>28</v>
      </c>
      <c r="B4" s="17" t="s">
        <v>29</v>
      </c>
      <c r="C4" s="10" t="s">
        <v>22</v>
      </c>
      <c r="D4" s="18" t="s">
        <v>30</v>
      </c>
      <c r="E4" s="10" t="s">
        <v>31</v>
      </c>
      <c r="F4" s="10" t="n">
        <v>2009</v>
      </c>
      <c r="G4" s="10" t="n">
        <v>1</v>
      </c>
      <c r="H4" s="10" t="n">
        <v>1</v>
      </c>
      <c r="I4" s="10" t="n">
        <v>1</v>
      </c>
      <c r="J4" s="10" t="n">
        <v>1</v>
      </c>
      <c r="K4" s="10" t="n">
        <v>1</v>
      </c>
      <c r="L4" s="10" t="s">
        <v>32</v>
      </c>
      <c r="M4" s="12" t="s">
        <v>33</v>
      </c>
      <c r="N4" s="10" t="n">
        <v>1</v>
      </c>
      <c r="O4" s="10" t="n">
        <v>1</v>
      </c>
      <c r="P4" s="12"/>
      <c r="Q4" s="12" t="s">
        <v>34</v>
      </c>
      <c r="R4" s="13" t="n">
        <v>1</v>
      </c>
      <c r="S4" s="12"/>
      <c r="T4" s="12"/>
      <c r="U4" s="14"/>
      <c r="W4" s="19" t="s">
        <v>35</v>
      </c>
    </row>
    <row r="5" customFormat="false" ht="15.75" hidden="false" customHeight="false" outlineLevel="0" collapsed="false">
      <c r="A5" s="20" t="s">
        <v>36</v>
      </c>
      <c r="B5" s="10" t="s">
        <v>37</v>
      </c>
      <c r="C5" s="10" t="s">
        <v>38</v>
      </c>
      <c r="D5" s="11" t="s">
        <v>39</v>
      </c>
      <c r="E5" s="10" t="s">
        <v>40</v>
      </c>
      <c r="F5" s="10" t="n">
        <v>2008</v>
      </c>
      <c r="G5" s="10" t="n">
        <v>1</v>
      </c>
      <c r="H5" s="10" t="n">
        <v>1</v>
      </c>
      <c r="I5" s="10"/>
      <c r="J5" s="13"/>
      <c r="K5" s="13" t="s">
        <v>41</v>
      </c>
      <c r="L5" s="10" t="s">
        <v>42</v>
      </c>
      <c r="M5" s="12" t="s">
        <v>43</v>
      </c>
      <c r="N5" s="10" t="s">
        <v>44</v>
      </c>
      <c r="O5" s="10" t="s">
        <v>45</v>
      </c>
      <c r="P5" s="12"/>
      <c r="Q5" s="12" t="s">
        <v>46</v>
      </c>
      <c r="R5" s="10" t="s">
        <v>47</v>
      </c>
      <c r="S5" s="12"/>
      <c r="T5" s="12"/>
      <c r="U5" s="14" t="s">
        <v>48</v>
      </c>
    </row>
    <row r="6" customFormat="false" ht="15.75" hidden="false" customHeight="false" outlineLevel="0" collapsed="false">
      <c r="A6" s="21" t="s">
        <v>49</v>
      </c>
      <c r="B6" s="9" t="s">
        <v>50</v>
      </c>
      <c r="C6" s="10" t="s">
        <v>22</v>
      </c>
      <c r="D6" s="11" t="s">
        <v>51</v>
      </c>
      <c r="E6" s="10" t="s">
        <v>52</v>
      </c>
      <c r="F6" s="10" t="n">
        <v>2008</v>
      </c>
      <c r="G6" s="10" t="n">
        <v>1</v>
      </c>
      <c r="H6" s="10" t="n">
        <v>1</v>
      </c>
      <c r="I6" s="10" t="n">
        <v>1</v>
      </c>
      <c r="J6" s="22" t="n">
        <v>1</v>
      </c>
      <c r="K6" s="13" t="s">
        <v>41</v>
      </c>
      <c r="L6" s="13" t="s">
        <v>41</v>
      </c>
      <c r="M6" s="12" t="s">
        <v>41</v>
      </c>
      <c r="N6" s="10" t="n">
        <v>1</v>
      </c>
      <c r="O6" s="10" t="n">
        <v>1</v>
      </c>
      <c r="P6" s="12"/>
      <c r="Q6" s="12" t="s">
        <v>34</v>
      </c>
      <c r="R6" s="10" t="s">
        <v>53</v>
      </c>
      <c r="S6" s="12"/>
      <c r="T6" s="12"/>
      <c r="U6" s="14" t="s">
        <v>54</v>
      </c>
    </row>
    <row r="7" customFormat="false" ht="15.75" hidden="false" customHeight="false" outlineLevel="0" collapsed="false">
      <c r="A7" s="21" t="s">
        <v>55</v>
      </c>
      <c r="B7" s="10" t="s">
        <v>56</v>
      </c>
      <c r="C7" s="10" t="s">
        <v>57</v>
      </c>
      <c r="D7" s="11" t="s">
        <v>58</v>
      </c>
      <c r="E7" s="10" t="s">
        <v>59</v>
      </c>
      <c r="F7" s="10" t="n">
        <v>2007</v>
      </c>
      <c r="G7" s="10" t="n">
        <v>1</v>
      </c>
      <c r="H7" s="10" t="n">
        <v>1</v>
      </c>
      <c r="I7" s="10" t="n">
        <v>1</v>
      </c>
      <c r="J7" s="10" t="n">
        <v>1</v>
      </c>
      <c r="K7" s="10" t="n">
        <v>1</v>
      </c>
      <c r="L7" s="10" t="s">
        <v>60</v>
      </c>
      <c r="M7" s="12" t="s">
        <v>61</v>
      </c>
      <c r="N7" s="10" t="s">
        <v>62</v>
      </c>
      <c r="O7" s="10" t="s">
        <v>63</v>
      </c>
      <c r="P7" s="12"/>
      <c r="Q7" s="12" t="s">
        <v>64</v>
      </c>
      <c r="R7" s="10" t="s">
        <v>53</v>
      </c>
      <c r="S7" s="12"/>
      <c r="T7" s="12"/>
      <c r="U7" s="14" t="s">
        <v>65</v>
      </c>
    </row>
    <row r="8" customFormat="false" ht="15.75" hidden="false" customHeight="false" outlineLevel="0" collapsed="false">
      <c r="A8" s="15" t="s">
        <v>66</v>
      </c>
      <c r="B8" s="15" t="s">
        <v>67</v>
      </c>
      <c r="C8" s="15" t="s">
        <v>68</v>
      </c>
      <c r="D8" s="23" t="s">
        <v>69</v>
      </c>
      <c r="E8" s="15" t="s">
        <v>70</v>
      </c>
      <c r="F8" s="15" t="s">
        <v>41</v>
      </c>
      <c r="G8" s="15" t="n">
        <v>1</v>
      </c>
      <c r="H8" s="15" t="n">
        <v>1</v>
      </c>
      <c r="I8" s="15" t="n">
        <v>1</v>
      </c>
      <c r="K8" s="24" t="n">
        <v>3</v>
      </c>
      <c r="L8" s="15" t="n">
        <v>10</v>
      </c>
      <c r="M8" s="25" t="s">
        <v>71</v>
      </c>
      <c r="N8" s="24" t="n">
        <v>0</v>
      </c>
      <c r="O8" s="24" t="n">
        <v>0</v>
      </c>
      <c r="P8" s="25"/>
      <c r="Q8" s="25" t="s">
        <v>72</v>
      </c>
      <c r="R8" s="10" t="s">
        <v>53</v>
      </c>
      <c r="S8" s="25"/>
      <c r="T8" s="25"/>
      <c r="U8" s="25" t="s">
        <v>73</v>
      </c>
      <c r="V8" s="24"/>
    </row>
    <row r="9" customFormat="false" ht="15.75" hidden="false" customHeight="false" outlineLevel="0" collapsed="false">
      <c r="A9" s="26" t="s">
        <v>74</v>
      </c>
      <c r="B9" s="27" t="s">
        <v>75</v>
      </c>
      <c r="C9" s="26" t="s">
        <v>76</v>
      </c>
      <c r="D9" s="27" t="s">
        <v>77</v>
      </c>
      <c r="E9" s="26" t="s">
        <v>70</v>
      </c>
      <c r="F9" s="26" t="s">
        <v>41</v>
      </c>
      <c r="G9" s="26" t="n">
        <v>1</v>
      </c>
      <c r="H9" s="26" t="n">
        <v>1</v>
      </c>
      <c r="I9" s="26" t="n">
        <v>1</v>
      </c>
      <c r="J9" s="26" t="n">
        <v>1</v>
      </c>
      <c r="K9" s="28" t="s">
        <v>41</v>
      </c>
      <c r="L9" s="28" t="s">
        <v>41</v>
      </c>
      <c r="M9" s="29" t="s">
        <v>41</v>
      </c>
      <c r="N9" s="28" t="s">
        <v>41</v>
      </c>
      <c r="O9" s="28" t="s">
        <v>41</v>
      </c>
      <c r="P9" s="29"/>
      <c r="Q9" s="29" t="s">
        <v>41</v>
      </c>
      <c r="R9" s="28" t="s">
        <v>41</v>
      </c>
      <c r="S9" s="30"/>
      <c r="T9" s="30"/>
      <c r="U9" s="31" t="s">
        <v>78</v>
      </c>
      <c r="V9" s="32"/>
      <c r="W9" s="32"/>
      <c r="X9" s="32"/>
      <c r="Y9" s="32"/>
      <c r="Z9" s="32"/>
      <c r="AA9" s="32"/>
      <c r="AB9" s="32"/>
      <c r="AC9" s="32"/>
      <c r="AD9" s="32"/>
      <c r="AE9" s="32"/>
      <c r="AF9" s="32"/>
      <c r="AG9" s="32"/>
      <c r="AH9" s="32"/>
      <c r="AI9" s="32"/>
      <c r="AJ9" s="32"/>
      <c r="AK9" s="32"/>
      <c r="AL9" s="32"/>
      <c r="AM9" s="32"/>
      <c r="AN9" s="32"/>
      <c r="AO9" s="32"/>
      <c r="AP9" s="32"/>
      <c r="AQ9" s="32"/>
    </row>
    <row r="10" customFormat="false" ht="15.75" hidden="false" customHeight="false" outlineLevel="0" collapsed="false">
      <c r="A10" s="15" t="s">
        <v>79</v>
      </c>
      <c r="B10" s="23" t="s">
        <v>80</v>
      </c>
      <c r="C10" s="15" t="s">
        <v>22</v>
      </c>
      <c r="D10" s="23" t="s">
        <v>81</v>
      </c>
      <c r="F10" s="15" t="s">
        <v>82</v>
      </c>
      <c r="G10" s="15" t="n">
        <v>1</v>
      </c>
      <c r="H10" s="15" t="n">
        <v>1</v>
      </c>
      <c r="I10" s="15" t="n">
        <v>1</v>
      </c>
      <c r="J10" s="15" t="n">
        <v>1</v>
      </c>
      <c r="K10" s="33" t="n">
        <v>1</v>
      </c>
      <c r="L10" s="34" t="s">
        <v>83</v>
      </c>
      <c r="M10" s="34" t="s">
        <v>84</v>
      </c>
      <c r="N10" s="35" t="s">
        <v>62</v>
      </c>
      <c r="O10" s="33" t="n">
        <v>0</v>
      </c>
      <c r="P10" s="34"/>
      <c r="Q10" s="34" t="s">
        <v>85</v>
      </c>
      <c r="R10" s="33" t="n">
        <v>0</v>
      </c>
      <c r="S10" s="34"/>
      <c r="T10" s="34"/>
      <c r="U10" s="34" t="s">
        <v>86</v>
      </c>
    </row>
    <row r="11" customFormat="false" ht="15.75" hidden="false" customHeight="false" outlineLevel="0" collapsed="false">
      <c r="A11" s="36" t="s">
        <v>87</v>
      </c>
      <c r="B11" s="36" t="s">
        <v>88</v>
      </c>
      <c r="C11" s="36" t="s">
        <v>22</v>
      </c>
      <c r="D11" s="37" t="s">
        <v>89</v>
      </c>
      <c r="E11" s="38"/>
      <c r="F11" s="36" t="n">
        <v>2008</v>
      </c>
      <c r="G11" s="36" t="n">
        <v>1</v>
      </c>
      <c r="H11" s="36" t="n">
        <v>1</v>
      </c>
      <c r="I11" s="36" t="n">
        <v>1</v>
      </c>
      <c r="J11" s="36" t="n">
        <v>1</v>
      </c>
      <c r="K11" s="39" t="n">
        <v>2</v>
      </c>
      <c r="L11" s="40" t="s">
        <v>90</v>
      </c>
      <c r="M11" s="41" t="s">
        <v>91</v>
      </c>
      <c r="N11" s="39" t="n">
        <v>1</v>
      </c>
      <c r="O11" s="40" t="n">
        <v>1</v>
      </c>
      <c r="P11" s="41"/>
      <c r="Q11" s="41" t="s">
        <v>92</v>
      </c>
      <c r="R11" s="39" t="n">
        <v>1</v>
      </c>
      <c r="S11" s="41"/>
      <c r="T11" s="41"/>
      <c r="U11" s="42" t="s">
        <v>93</v>
      </c>
      <c r="V11" s="38"/>
      <c r="W11" s="38"/>
      <c r="X11" s="38"/>
      <c r="Y11" s="38"/>
      <c r="Z11" s="38"/>
      <c r="AA11" s="38"/>
      <c r="AB11" s="38"/>
      <c r="AC11" s="38"/>
      <c r="AD11" s="38"/>
      <c r="AE11" s="38"/>
      <c r="AF11" s="38"/>
      <c r="AG11" s="38"/>
      <c r="AH11" s="38"/>
      <c r="AI11" s="38"/>
      <c r="AJ11" s="38"/>
      <c r="AK11" s="38"/>
      <c r="AL11" s="38"/>
      <c r="AM11" s="38"/>
      <c r="AN11" s="38"/>
      <c r="AO11" s="38"/>
      <c r="AP11" s="38"/>
      <c r="AQ11" s="38"/>
    </row>
    <row r="12" customFormat="false" ht="15.75" hidden="false" customHeight="false" outlineLevel="0" collapsed="false">
      <c r="A12" s="36" t="s">
        <v>94</v>
      </c>
      <c r="B12" s="37" t="s">
        <v>95</v>
      </c>
      <c r="C12" s="36" t="s">
        <v>22</v>
      </c>
      <c r="D12" s="37" t="s">
        <v>96</v>
      </c>
      <c r="E12" s="38"/>
      <c r="F12" s="36" t="n">
        <v>2013</v>
      </c>
      <c r="G12" s="36" t="n">
        <v>1</v>
      </c>
      <c r="H12" s="36" t="n">
        <v>1</v>
      </c>
      <c r="I12" s="36" t="n">
        <v>1</v>
      </c>
      <c r="J12" s="36" t="n">
        <v>1</v>
      </c>
      <c r="K12" s="39" t="n">
        <v>3</v>
      </c>
      <c r="L12" s="39" t="n">
        <v>27</v>
      </c>
      <c r="M12" s="41" t="s">
        <v>97</v>
      </c>
      <c r="N12" s="39" t="n">
        <v>1</v>
      </c>
      <c r="O12" s="40" t="n">
        <v>0</v>
      </c>
      <c r="P12" s="41" t="s">
        <v>98</v>
      </c>
      <c r="Q12" s="42" t="s">
        <v>99</v>
      </c>
      <c r="R12" s="39" t="n">
        <v>1</v>
      </c>
      <c r="S12" s="41"/>
      <c r="T12" s="41"/>
      <c r="U12" s="42" t="s">
        <v>100</v>
      </c>
      <c r="V12" s="38"/>
      <c r="W12" s="37" t="s">
        <v>101</v>
      </c>
      <c r="X12" s="38"/>
      <c r="Y12" s="38"/>
      <c r="Z12" s="38"/>
      <c r="AA12" s="38"/>
      <c r="AB12" s="38"/>
      <c r="AC12" s="38"/>
      <c r="AD12" s="38"/>
      <c r="AE12" s="38"/>
      <c r="AF12" s="38"/>
      <c r="AG12" s="38"/>
      <c r="AH12" s="38"/>
      <c r="AI12" s="38"/>
      <c r="AJ12" s="38"/>
      <c r="AK12" s="38"/>
      <c r="AL12" s="38"/>
      <c r="AM12" s="38"/>
      <c r="AN12" s="38"/>
      <c r="AO12" s="38"/>
      <c r="AP12" s="38"/>
      <c r="AQ12" s="38"/>
    </row>
    <row r="13" customFormat="false" ht="15.75" hidden="false" customHeight="false" outlineLevel="0" collapsed="false">
      <c r="A13" s="15" t="s">
        <v>102</v>
      </c>
      <c r="B13" s="23" t="s">
        <v>103</v>
      </c>
      <c r="C13" s="15" t="s">
        <v>104</v>
      </c>
      <c r="D13" s="23" t="s">
        <v>105</v>
      </c>
      <c r="F13" s="15" t="n">
        <v>2014</v>
      </c>
      <c r="G13" s="15" t="n">
        <v>1</v>
      </c>
      <c r="H13" s="15" t="n">
        <v>1</v>
      </c>
      <c r="I13" s="15" t="n">
        <v>1</v>
      </c>
      <c r="J13" s="15" t="n">
        <v>1</v>
      </c>
      <c r="K13" s="35" t="s">
        <v>106</v>
      </c>
      <c r="L13" s="35" t="s">
        <v>107</v>
      </c>
      <c r="M13" s="34" t="s">
        <v>106</v>
      </c>
      <c r="N13" s="35" t="s">
        <v>108</v>
      </c>
      <c r="O13" s="33" t="n">
        <v>1</v>
      </c>
      <c r="P13" s="34" t="s">
        <v>109</v>
      </c>
      <c r="Q13" s="34" t="s">
        <v>110</v>
      </c>
      <c r="R13" s="35" t="s">
        <v>41</v>
      </c>
      <c r="S13" s="34"/>
      <c r="T13" s="34"/>
      <c r="U13" s="34" t="s">
        <v>111</v>
      </c>
    </row>
    <row r="14" customFormat="false" ht="15.75" hidden="false" customHeight="false" outlineLevel="0" collapsed="false">
      <c r="A14" s="15" t="s">
        <v>112</v>
      </c>
      <c r="B14" s="15" t="s">
        <v>113</v>
      </c>
      <c r="C14" s="15" t="s">
        <v>114</v>
      </c>
      <c r="D14" s="23" t="s">
        <v>115</v>
      </c>
      <c r="F14" s="15" t="s">
        <v>116</v>
      </c>
      <c r="G14" s="15" t="n">
        <v>1</v>
      </c>
      <c r="H14" s="15" t="n">
        <v>1</v>
      </c>
      <c r="I14" s="15" t="n">
        <v>1</v>
      </c>
      <c r="J14" s="15" t="n">
        <v>1</v>
      </c>
      <c r="K14" s="34" t="s">
        <v>117</v>
      </c>
      <c r="L14" s="33" t="n">
        <v>15</v>
      </c>
      <c r="M14" s="34" t="s">
        <v>106</v>
      </c>
      <c r="N14" s="33" t="n">
        <v>1</v>
      </c>
      <c r="O14" s="33" t="n">
        <v>0</v>
      </c>
      <c r="P14" s="34" t="s">
        <v>118</v>
      </c>
      <c r="Q14" s="34" t="s">
        <v>119</v>
      </c>
      <c r="R14" s="35" t="s">
        <v>41</v>
      </c>
      <c r="S14" s="34"/>
      <c r="T14" s="34"/>
      <c r="U14" s="34" t="s">
        <v>120</v>
      </c>
      <c r="W14" s="23" t="s">
        <v>121</v>
      </c>
    </row>
    <row r="15" customFormat="false" ht="15.75" hidden="false" customHeight="false" outlineLevel="0" collapsed="false">
      <c r="A15" s="36" t="s">
        <v>122</v>
      </c>
      <c r="B15" s="37" t="s">
        <v>123</v>
      </c>
      <c r="C15" s="36" t="s">
        <v>124</v>
      </c>
      <c r="D15" s="37" t="s">
        <v>125</v>
      </c>
      <c r="E15" s="38"/>
      <c r="F15" s="36" t="n">
        <v>2011</v>
      </c>
      <c r="G15" s="36" t="n">
        <v>1</v>
      </c>
      <c r="H15" s="36" t="n">
        <v>1</v>
      </c>
      <c r="I15" s="36" t="n">
        <v>1</v>
      </c>
      <c r="J15" s="36" t="n">
        <v>1</v>
      </c>
      <c r="K15" s="39" t="n">
        <v>1</v>
      </c>
      <c r="L15" s="41" t="s">
        <v>126</v>
      </c>
      <c r="M15" s="41" t="s">
        <v>127</v>
      </c>
      <c r="N15" s="39" t="n">
        <v>1</v>
      </c>
      <c r="O15" s="40" t="s">
        <v>128</v>
      </c>
      <c r="P15" s="41" t="s">
        <v>129</v>
      </c>
      <c r="Q15" s="41" t="s">
        <v>130</v>
      </c>
      <c r="R15" s="41" t="s">
        <v>131</v>
      </c>
      <c r="S15" s="41" t="s">
        <v>132</v>
      </c>
      <c r="T15" s="41" t="n">
        <v>69</v>
      </c>
      <c r="U15" s="41" t="s">
        <v>133</v>
      </c>
      <c r="V15" s="38" t="s">
        <v>134</v>
      </c>
      <c r="W15" s="36" t="s">
        <v>135</v>
      </c>
      <c r="X15" s="38"/>
      <c r="Y15" s="38"/>
      <c r="Z15" s="38"/>
      <c r="AA15" s="38"/>
      <c r="AB15" s="38"/>
      <c r="AC15" s="38"/>
      <c r="AD15" s="38"/>
      <c r="AE15" s="38"/>
      <c r="AF15" s="38"/>
      <c r="AG15" s="38"/>
      <c r="AH15" s="38"/>
      <c r="AI15" s="38"/>
      <c r="AJ15" s="38"/>
      <c r="AK15" s="38"/>
      <c r="AL15" s="38"/>
      <c r="AM15" s="38"/>
      <c r="AN15" s="38"/>
      <c r="AO15" s="38"/>
      <c r="AP15" s="38"/>
      <c r="AQ15" s="38"/>
    </row>
    <row r="16" customFormat="false" ht="15.75" hidden="false" customHeight="false" outlineLevel="0" collapsed="false">
      <c r="A16" s="15" t="s">
        <v>136</v>
      </c>
      <c r="B16" s="15" t="s">
        <v>137</v>
      </c>
      <c r="C16" s="15" t="s">
        <v>57</v>
      </c>
      <c r="D16" s="23" t="s">
        <v>138</v>
      </c>
      <c r="F16" s="15" t="n">
        <v>2009</v>
      </c>
      <c r="G16" s="15" t="n">
        <v>1</v>
      </c>
      <c r="H16" s="15" t="n">
        <v>1</v>
      </c>
      <c r="I16" s="15" t="n">
        <v>1</v>
      </c>
      <c r="J16" s="15" t="n">
        <v>1</v>
      </c>
      <c r="K16" s="33" t="n">
        <v>3</v>
      </c>
      <c r="L16" s="33" t="n">
        <v>12</v>
      </c>
      <c r="M16" s="43"/>
      <c r="N16" s="33" t="n">
        <v>1</v>
      </c>
      <c r="O16" s="44" t="n">
        <v>0</v>
      </c>
      <c r="P16" s="45"/>
      <c r="Q16" s="34" t="s">
        <v>139</v>
      </c>
      <c r="R16" s="44" t="n">
        <v>1</v>
      </c>
      <c r="S16" s="43"/>
      <c r="T16" s="43"/>
      <c r="U16" s="43"/>
    </row>
    <row r="17" customFormat="false" ht="15.75" hidden="false" customHeight="false" outlineLevel="0" collapsed="false">
      <c r="A17" s="15" t="s">
        <v>140</v>
      </c>
      <c r="B17" s="23" t="s">
        <v>141</v>
      </c>
      <c r="C17" s="15" t="s">
        <v>142</v>
      </c>
      <c r="D17" s="23" t="s">
        <v>143</v>
      </c>
      <c r="F17" s="15" t="n">
        <v>2018</v>
      </c>
      <c r="G17" s="15" t="n">
        <v>1</v>
      </c>
      <c r="H17" s="15" t="n">
        <v>1</v>
      </c>
      <c r="I17" s="15"/>
      <c r="K17" s="15" t="s">
        <v>144</v>
      </c>
      <c r="L17" s="15" t="s">
        <v>145</v>
      </c>
      <c r="M17" s="46" t="s">
        <v>146</v>
      </c>
      <c r="O17" s="15" t="n">
        <v>1</v>
      </c>
      <c r="P17" s="46" t="s">
        <v>147</v>
      </c>
      <c r="Q17" s="46"/>
      <c r="R17" s="15" t="n">
        <v>1</v>
      </c>
      <c r="S17" s="46"/>
      <c r="T17" s="46" t="s">
        <v>148</v>
      </c>
      <c r="U17" s="46"/>
      <c r="V17" s="15" t="s">
        <v>149</v>
      </c>
    </row>
    <row r="18" customFormat="false" ht="15.75" hidden="false" customHeight="false" outlineLevel="0" collapsed="false">
      <c r="A18" s="15" t="s">
        <v>150</v>
      </c>
      <c r="B18" s="23" t="s">
        <v>151</v>
      </c>
      <c r="C18" s="15" t="s">
        <v>152</v>
      </c>
      <c r="D18" s="23" t="s">
        <v>153</v>
      </c>
      <c r="G18" s="15" t="n">
        <v>1</v>
      </c>
      <c r="H18" s="15" t="n">
        <v>1</v>
      </c>
      <c r="I18" s="15"/>
      <c r="J18" s="15" t="n">
        <v>1</v>
      </c>
      <c r="K18" s="47" t="s">
        <v>154</v>
      </c>
      <c r="L18" s="15" t="s">
        <v>155</v>
      </c>
      <c r="M18" s="46" t="s">
        <v>156</v>
      </c>
      <c r="N18" s="15" t="n">
        <v>1</v>
      </c>
      <c r="O18" s="15" t="n">
        <v>1</v>
      </c>
      <c r="P18" s="46" t="s">
        <v>147</v>
      </c>
      <c r="Q18" s="46" t="s">
        <v>157</v>
      </c>
      <c r="R18" s="15" t="n">
        <v>1</v>
      </c>
      <c r="S18" s="46" t="s">
        <v>158</v>
      </c>
      <c r="T18" s="46" t="s">
        <v>159</v>
      </c>
      <c r="U18" s="46"/>
      <c r="V18" s="47" t="s">
        <v>160</v>
      </c>
      <c r="W18" s="47" t="s">
        <v>161</v>
      </c>
    </row>
    <row r="19" customFormat="false" ht="15.75" hidden="false" customHeight="false" outlineLevel="0" collapsed="false">
      <c r="A19" s="15" t="s">
        <v>162</v>
      </c>
      <c r="B19" s="23" t="s">
        <v>163</v>
      </c>
      <c r="C19" s="15" t="s">
        <v>164</v>
      </c>
      <c r="D19" s="23" t="s">
        <v>165</v>
      </c>
      <c r="F19" s="15" t="n">
        <v>2009</v>
      </c>
      <c r="G19" s="15" t="n">
        <v>1</v>
      </c>
      <c r="H19" s="15" t="n">
        <v>1</v>
      </c>
      <c r="I19" s="15"/>
      <c r="J19" s="15" t="n">
        <v>1</v>
      </c>
      <c r="K19" s="15" t="s">
        <v>166</v>
      </c>
      <c r="L19" s="15" t="s">
        <v>155</v>
      </c>
      <c r="M19" s="46" t="s">
        <v>167</v>
      </c>
      <c r="N19" s="15" t="n">
        <v>0</v>
      </c>
      <c r="O19" s="15" t="n">
        <v>0</v>
      </c>
      <c r="P19" s="46" t="s">
        <v>168</v>
      </c>
      <c r="Q19" s="46" t="s">
        <v>169</v>
      </c>
      <c r="R19" s="15" t="n">
        <v>0</v>
      </c>
      <c r="S19" s="46" t="s">
        <v>170</v>
      </c>
      <c r="T19" s="46"/>
      <c r="U19" s="46"/>
      <c r="V19" s="15" t="s">
        <v>171</v>
      </c>
      <c r="W19" s="15" t="s">
        <v>172</v>
      </c>
    </row>
    <row r="20" customFormat="false" ht="15.75" hidden="false" customHeight="false" outlineLevel="0" collapsed="false">
      <c r="A20" s="15" t="s">
        <v>173</v>
      </c>
      <c r="B20" s="15" t="s">
        <v>174</v>
      </c>
      <c r="C20" s="15" t="s">
        <v>175</v>
      </c>
      <c r="D20" s="23" t="s">
        <v>176</v>
      </c>
      <c r="F20" s="15" t="n">
        <v>2008</v>
      </c>
      <c r="G20" s="15" t="n">
        <v>1</v>
      </c>
      <c r="H20" s="15"/>
      <c r="I20" s="15" t="n">
        <v>1</v>
      </c>
      <c r="J20" s="15" t="n">
        <v>1</v>
      </c>
      <c r="K20" s="15" t="s">
        <v>177</v>
      </c>
      <c r="L20" s="15" t="s">
        <v>178</v>
      </c>
      <c r="M20" s="46" t="s">
        <v>179</v>
      </c>
      <c r="P20" s="15" t="s">
        <v>168</v>
      </c>
      <c r="Q20" s="46" t="s">
        <v>180</v>
      </c>
      <c r="R20" s="15" t="n">
        <v>0</v>
      </c>
      <c r="S20" s="46" t="s">
        <v>181</v>
      </c>
      <c r="T20" s="46" t="n">
        <v>9</v>
      </c>
      <c r="U20" s="46"/>
      <c r="V20" s="15" t="s">
        <v>182</v>
      </c>
      <c r="W20" s="15" t="s">
        <v>183</v>
      </c>
    </row>
    <row r="21" customFormat="false" ht="15.75" hidden="false" customHeight="false" outlineLevel="0" collapsed="false">
      <c r="A21" s="15" t="s">
        <v>184</v>
      </c>
      <c r="B21" s="23" t="s">
        <v>185</v>
      </c>
      <c r="C21" s="15" t="s">
        <v>186</v>
      </c>
      <c r="D21" s="23" t="s">
        <v>187</v>
      </c>
      <c r="F21" s="15" t="n">
        <v>2019</v>
      </c>
      <c r="G21" s="15" t="n">
        <v>1</v>
      </c>
      <c r="H21" s="15"/>
      <c r="K21" s="15" t="n">
        <v>1</v>
      </c>
      <c r="L21" s="15" t="s">
        <v>188</v>
      </c>
      <c r="M21" s="46" t="s">
        <v>189</v>
      </c>
      <c r="N21" s="15" t="n">
        <v>0</v>
      </c>
      <c r="O21" s="15" t="n">
        <v>1</v>
      </c>
      <c r="P21" s="46" t="s">
        <v>147</v>
      </c>
      <c r="Q21" s="46" t="s">
        <v>190</v>
      </c>
      <c r="R21" s="15" t="n">
        <v>0</v>
      </c>
      <c r="S21" s="46" t="s">
        <v>191</v>
      </c>
      <c r="T21" s="46" t="n">
        <v>0</v>
      </c>
      <c r="U21" s="46"/>
      <c r="V21" s="15" t="s">
        <v>192</v>
      </c>
      <c r="W21" s="47" t="s">
        <v>193</v>
      </c>
    </row>
    <row r="22" customFormat="false" ht="15.75" hidden="false" customHeight="false" outlineLevel="0" collapsed="false">
      <c r="A22" s="15" t="s">
        <v>194</v>
      </c>
      <c r="B22" s="23" t="s">
        <v>195</v>
      </c>
      <c r="C22" s="15" t="s">
        <v>196</v>
      </c>
      <c r="D22" s="23" t="s">
        <v>197</v>
      </c>
      <c r="F22" s="15" t="n">
        <v>2019</v>
      </c>
      <c r="G22" s="15" t="n">
        <v>1</v>
      </c>
      <c r="H22" s="15"/>
      <c r="K22" s="15" t="s">
        <v>198</v>
      </c>
      <c r="L22" s="48" t="s">
        <v>199</v>
      </c>
      <c r="M22" s="46" t="s">
        <v>106</v>
      </c>
      <c r="N22" s="15" t="n">
        <v>0</v>
      </c>
      <c r="O22" s="15" t="n">
        <v>0</v>
      </c>
      <c r="P22" s="46" t="s">
        <v>168</v>
      </c>
      <c r="Q22" s="46" t="s">
        <v>200</v>
      </c>
      <c r="R22" s="15" t="n">
        <v>0</v>
      </c>
      <c r="S22" s="46" t="s">
        <v>201</v>
      </c>
      <c r="T22" s="46" t="n">
        <v>0</v>
      </c>
      <c r="U22" s="46"/>
      <c r="V22" s="15" t="s">
        <v>202</v>
      </c>
      <c r="W22" s="15" t="s">
        <v>203</v>
      </c>
    </row>
    <row r="23" customFormat="false" ht="15.75" hidden="false" customHeight="false" outlineLevel="0" collapsed="false">
      <c r="A23" s="15" t="s">
        <v>204</v>
      </c>
      <c r="B23" s="15" t="s">
        <v>205</v>
      </c>
      <c r="C23" s="15" t="s">
        <v>206</v>
      </c>
      <c r="D23" s="23" t="s">
        <v>207</v>
      </c>
      <c r="G23" s="15"/>
      <c r="H23" s="15" t="n">
        <v>1</v>
      </c>
      <c r="I23" s="15" t="n">
        <v>1</v>
      </c>
      <c r="J23" s="15" t="n">
        <v>1</v>
      </c>
      <c r="K23" s="15" t="s">
        <v>208</v>
      </c>
      <c r="L23" s="15" t="s">
        <v>209</v>
      </c>
      <c r="M23" s="46" t="s">
        <v>210</v>
      </c>
      <c r="N23" s="15" t="n">
        <v>1</v>
      </c>
      <c r="O23" s="15" t="n">
        <v>1</v>
      </c>
      <c r="P23" s="46" t="s">
        <v>147</v>
      </c>
      <c r="Q23" s="46" t="s">
        <v>211</v>
      </c>
      <c r="R23" s="15" t="n">
        <v>1</v>
      </c>
      <c r="S23" s="49" t="s">
        <v>212</v>
      </c>
      <c r="T23" s="46" t="n">
        <v>21</v>
      </c>
      <c r="U23" s="46"/>
      <c r="V23" s="15" t="s">
        <v>213</v>
      </c>
      <c r="W23" s="15" t="s">
        <v>214</v>
      </c>
    </row>
    <row r="24" customFormat="false" ht="15.75" hidden="false" customHeight="false" outlineLevel="0" collapsed="false">
      <c r="A24" s="15" t="s">
        <v>215</v>
      </c>
      <c r="B24" s="15" t="s">
        <v>216</v>
      </c>
      <c r="C24" s="15" t="s">
        <v>217</v>
      </c>
      <c r="D24" s="23" t="s">
        <v>218</v>
      </c>
      <c r="F24" s="15" t="n">
        <v>2005</v>
      </c>
      <c r="G24" s="15"/>
      <c r="H24" s="15" t="n">
        <v>1</v>
      </c>
      <c r="I24" s="15" t="n">
        <v>1</v>
      </c>
      <c r="J24" s="15" t="n">
        <v>1</v>
      </c>
      <c r="K24" s="15" t="s">
        <v>219</v>
      </c>
      <c r="L24" s="15" t="s">
        <v>220</v>
      </c>
      <c r="M24" s="46" t="s">
        <v>221</v>
      </c>
      <c r="N24" s="15" t="n">
        <v>1</v>
      </c>
      <c r="O24" s="15" t="n">
        <v>0</v>
      </c>
      <c r="P24" s="49" t="s">
        <v>222</v>
      </c>
      <c r="Q24" s="46" t="s">
        <v>223</v>
      </c>
      <c r="R24" s="15" t="n">
        <v>1</v>
      </c>
      <c r="S24" s="46" t="s">
        <v>224</v>
      </c>
      <c r="T24" s="46" t="n">
        <v>2</v>
      </c>
      <c r="U24" s="46"/>
      <c r="V24" s="15" t="s">
        <v>225</v>
      </c>
      <c r="W24" s="15" t="s">
        <v>226</v>
      </c>
    </row>
    <row r="25" customFormat="false" ht="15.75" hidden="false" customHeight="false" outlineLevel="0" collapsed="false">
      <c r="A25" s="15" t="s">
        <v>227</v>
      </c>
      <c r="B25" s="23" t="s">
        <v>228</v>
      </c>
      <c r="C25" s="15" t="s">
        <v>229</v>
      </c>
      <c r="D25" s="23" t="s">
        <v>230</v>
      </c>
      <c r="G25" s="15"/>
      <c r="H25" s="15" t="n">
        <v>1</v>
      </c>
      <c r="K25" s="15" t="s">
        <v>231</v>
      </c>
      <c r="L25" s="15" t="s">
        <v>232</v>
      </c>
      <c r="M25" s="46" t="s">
        <v>233</v>
      </c>
      <c r="N25" s="15" t="n">
        <v>0</v>
      </c>
      <c r="O25" s="15" t="n">
        <v>1</v>
      </c>
      <c r="P25" s="46" t="s">
        <v>147</v>
      </c>
      <c r="Q25" s="49" t="s">
        <v>234</v>
      </c>
      <c r="R25" s="15" t="n">
        <v>1</v>
      </c>
      <c r="S25" s="46" t="s">
        <v>235</v>
      </c>
      <c r="T25" s="46" t="n">
        <v>0</v>
      </c>
      <c r="U25" s="46" t="s">
        <v>236</v>
      </c>
      <c r="V25" s="15" t="s">
        <v>237</v>
      </c>
      <c r="W25" s="15" t="s">
        <v>238</v>
      </c>
    </row>
    <row r="26" customFormat="false" ht="15.75" hidden="false" customHeight="false" outlineLevel="0" collapsed="false">
      <c r="A26" s="15" t="s">
        <v>239</v>
      </c>
      <c r="B26" s="15" t="s">
        <v>240</v>
      </c>
      <c r="C26" s="15" t="s">
        <v>229</v>
      </c>
      <c r="D26" s="23" t="s">
        <v>241</v>
      </c>
      <c r="G26" s="15"/>
      <c r="H26" s="15" t="n">
        <v>1</v>
      </c>
      <c r="J26" s="15" t="n">
        <v>1</v>
      </c>
      <c r="K26" s="15" t="s">
        <v>219</v>
      </c>
      <c r="L26" s="15" t="s">
        <v>242</v>
      </c>
      <c r="M26" s="46" t="s">
        <v>243</v>
      </c>
      <c r="N26" s="15" t="n">
        <v>0</v>
      </c>
      <c r="O26" s="15" t="n">
        <v>0</v>
      </c>
      <c r="P26" s="49" t="s">
        <v>222</v>
      </c>
      <c r="Q26" s="49" t="s">
        <v>244</v>
      </c>
      <c r="R26" s="15" t="n">
        <v>0</v>
      </c>
      <c r="S26" s="46" t="n">
        <v>4</v>
      </c>
      <c r="T26" s="46" t="n">
        <v>0</v>
      </c>
      <c r="U26" s="46"/>
      <c r="V26" s="15" t="s">
        <v>245</v>
      </c>
      <c r="W26" s="15" t="s">
        <v>246</v>
      </c>
    </row>
    <row r="27" customFormat="false" ht="15.75" hidden="false" customHeight="false" outlineLevel="0" collapsed="false">
      <c r="A27" s="15" t="s">
        <v>247</v>
      </c>
      <c r="B27" s="15" t="s">
        <v>247</v>
      </c>
      <c r="C27" s="15" t="s">
        <v>38</v>
      </c>
      <c r="D27" s="23" t="s">
        <v>248</v>
      </c>
      <c r="G27" s="15"/>
      <c r="H27" s="15"/>
      <c r="I27" s="15" t="n">
        <v>1</v>
      </c>
      <c r="J27" s="15" t="n">
        <v>1</v>
      </c>
      <c r="K27" s="15" t="s">
        <v>249</v>
      </c>
      <c r="L27" s="15" t="s">
        <v>242</v>
      </c>
      <c r="M27" s="15" t="s">
        <v>250</v>
      </c>
      <c r="N27" s="15" t="n">
        <v>1</v>
      </c>
      <c r="O27" s="15" t="n">
        <v>1</v>
      </c>
      <c r="P27" s="46" t="s">
        <v>251</v>
      </c>
      <c r="Q27" s="46" t="s">
        <v>252</v>
      </c>
      <c r="R27" s="15" t="n">
        <v>0</v>
      </c>
      <c r="S27" s="46" t="s">
        <v>253</v>
      </c>
      <c r="T27" s="46" t="n">
        <v>8</v>
      </c>
      <c r="U27" s="46" t="s">
        <v>254</v>
      </c>
      <c r="V27" s="15" t="s">
        <v>255</v>
      </c>
    </row>
    <row r="28" customFormat="false" ht="15.75" hidden="false" customHeight="false" outlineLevel="0" collapsed="false">
      <c r="A28" s="15" t="s">
        <v>256</v>
      </c>
      <c r="B28" s="23" t="s">
        <v>257</v>
      </c>
      <c r="C28" s="15" t="s">
        <v>76</v>
      </c>
      <c r="D28" s="23" t="s">
        <v>258</v>
      </c>
      <c r="G28" s="15"/>
      <c r="H28" s="15"/>
      <c r="I28" s="15" t="n">
        <v>1</v>
      </c>
      <c r="K28" s="15" t="s">
        <v>259</v>
      </c>
      <c r="L28" s="15" t="s">
        <v>260</v>
      </c>
      <c r="M28" s="46" t="s">
        <v>261</v>
      </c>
      <c r="N28" s="15" t="n">
        <v>1</v>
      </c>
      <c r="O28" s="15" t="n">
        <v>0</v>
      </c>
      <c r="P28" s="49" t="s">
        <v>222</v>
      </c>
      <c r="Q28" s="46" t="s">
        <v>262</v>
      </c>
      <c r="R28" s="15" t="s">
        <v>219</v>
      </c>
      <c r="S28" s="46" t="s">
        <v>263</v>
      </c>
      <c r="T28" s="46" t="n">
        <v>1</v>
      </c>
      <c r="U28" s="46" t="s">
        <v>264</v>
      </c>
      <c r="V28" s="15" t="s">
        <v>265</v>
      </c>
      <c r="W28" s="15" t="s">
        <v>266</v>
      </c>
    </row>
    <row r="29" customFormat="false" ht="15.75" hidden="false" customHeight="false" outlineLevel="0" collapsed="false">
      <c r="A29" s="15" t="s">
        <v>267</v>
      </c>
      <c r="B29" s="23" t="s">
        <v>268</v>
      </c>
      <c r="C29" s="15" t="s">
        <v>269</v>
      </c>
      <c r="D29" s="15" t="s">
        <v>270</v>
      </c>
      <c r="G29" s="15"/>
      <c r="H29" s="15"/>
      <c r="I29" s="15" t="n">
        <v>1</v>
      </c>
      <c r="J29" s="15" t="n">
        <v>1</v>
      </c>
      <c r="K29" s="15" t="s">
        <v>219</v>
      </c>
      <c r="L29" s="15" t="s">
        <v>219</v>
      </c>
      <c r="M29" s="46" t="s">
        <v>219</v>
      </c>
      <c r="N29" s="15" t="n">
        <v>1</v>
      </c>
      <c r="O29" s="15" t="n">
        <v>0</v>
      </c>
      <c r="P29" s="49" t="s">
        <v>222</v>
      </c>
      <c r="Q29" s="46" t="s">
        <v>271</v>
      </c>
      <c r="S29" s="46" t="s">
        <v>272</v>
      </c>
      <c r="T29" s="46" t="n">
        <v>1</v>
      </c>
      <c r="U29" s="46" t="s">
        <v>273</v>
      </c>
      <c r="V29" s="15" t="s">
        <v>274</v>
      </c>
      <c r="W29" s="15" t="s">
        <v>275</v>
      </c>
    </row>
    <row r="30" customFormat="false" ht="15.75" hidden="false" customHeight="false" outlineLevel="0" collapsed="false">
      <c r="A30" s="15" t="s">
        <v>276</v>
      </c>
      <c r="B30" s="15" t="s">
        <v>277</v>
      </c>
      <c r="C30" s="15" t="s">
        <v>104</v>
      </c>
      <c r="D30" s="23" t="s">
        <v>278</v>
      </c>
      <c r="G30" s="15"/>
      <c r="H30" s="15"/>
      <c r="I30" s="15" t="n">
        <v>1</v>
      </c>
      <c r="K30" s="15" t="s">
        <v>219</v>
      </c>
      <c r="L30" s="15" t="s">
        <v>219</v>
      </c>
      <c r="M30" s="46" t="s">
        <v>219</v>
      </c>
      <c r="N30" s="15" t="n">
        <v>0</v>
      </c>
      <c r="O30" s="15" t="n">
        <v>1</v>
      </c>
      <c r="P30" s="49" t="s">
        <v>222</v>
      </c>
      <c r="Q30" s="46" t="s">
        <v>279</v>
      </c>
      <c r="R30" s="15" t="n">
        <v>0</v>
      </c>
      <c r="S30" s="46" t="s">
        <v>219</v>
      </c>
      <c r="T30" s="46" t="n">
        <v>0</v>
      </c>
      <c r="U30" s="46" t="s">
        <v>280</v>
      </c>
      <c r="V30" s="47" t="s">
        <v>281</v>
      </c>
      <c r="W30" s="15" t="s">
        <v>282</v>
      </c>
    </row>
    <row r="31" customFormat="false" ht="15.75" hidden="false" customHeight="false" outlineLevel="0" collapsed="false">
      <c r="A31" s="15" t="s">
        <v>283</v>
      </c>
      <c r="B31" s="23" t="s">
        <v>284</v>
      </c>
      <c r="C31" s="15" t="s">
        <v>285</v>
      </c>
      <c r="D31" s="23" t="s">
        <v>286</v>
      </c>
      <c r="G31" s="15"/>
      <c r="H31" s="15"/>
      <c r="I31" s="15" t="n">
        <v>1</v>
      </c>
      <c r="K31" s="15" t="n">
        <v>1</v>
      </c>
      <c r="L31" s="15" t="s">
        <v>287</v>
      </c>
      <c r="M31" s="46" t="s">
        <v>288</v>
      </c>
      <c r="N31" s="15" t="n">
        <v>1</v>
      </c>
      <c r="O31" s="15" t="n">
        <v>0</v>
      </c>
      <c r="P31" s="49" t="s">
        <v>222</v>
      </c>
      <c r="Q31" s="46" t="s">
        <v>289</v>
      </c>
      <c r="R31" s="15" t="n">
        <v>1</v>
      </c>
      <c r="S31" s="46" t="s">
        <v>290</v>
      </c>
      <c r="T31" s="46" t="n">
        <v>1</v>
      </c>
      <c r="U31" s="46" t="s">
        <v>291</v>
      </c>
      <c r="V31" s="15" t="s">
        <v>292</v>
      </c>
      <c r="W31" s="15" t="s">
        <v>293</v>
      </c>
    </row>
    <row r="32" customFormat="false" ht="15.75" hidden="false" customHeight="false" outlineLevel="0" collapsed="false">
      <c r="A32" s="15" t="s">
        <v>294</v>
      </c>
      <c r="B32" s="15" t="s">
        <v>295</v>
      </c>
      <c r="C32" s="15" t="s">
        <v>296</v>
      </c>
      <c r="D32" s="23" t="s">
        <v>297</v>
      </c>
      <c r="G32" s="15"/>
      <c r="H32" s="15"/>
      <c r="I32" s="15" t="n">
        <v>1</v>
      </c>
      <c r="K32" s="15" t="n">
        <v>2</v>
      </c>
      <c r="L32" s="15" t="s">
        <v>298</v>
      </c>
      <c r="M32" s="46" t="s">
        <v>299</v>
      </c>
      <c r="N32" s="15" t="n">
        <v>1</v>
      </c>
      <c r="O32" s="15" t="n">
        <v>1</v>
      </c>
      <c r="P32" s="46" t="s">
        <v>300</v>
      </c>
      <c r="Q32" s="46"/>
      <c r="R32" s="15" t="n">
        <v>0</v>
      </c>
      <c r="S32" s="50" t="s">
        <v>301</v>
      </c>
      <c r="T32" s="46" t="n">
        <v>1</v>
      </c>
      <c r="U32" s="46" t="s">
        <v>302</v>
      </c>
      <c r="V32" s="15" t="s">
        <v>303</v>
      </c>
      <c r="W32" s="15" t="s">
        <v>304</v>
      </c>
    </row>
    <row r="33" customFormat="false" ht="15.75" hidden="false" customHeight="false" outlineLevel="0" collapsed="false">
      <c r="A33" s="15" t="s">
        <v>305</v>
      </c>
      <c r="B33" s="23" t="s">
        <v>163</v>
      </c>
      <c r="C33" s="15" t="s">
        <v>164</v>
      </c>
      <c r="D33" s="23" t="s">
        <v>165</v>
      </c>
      <c r="G33" s="15"/>
      <c r="H33" s="15"/>
      <c r="I33" s="15" t="n">
        <v>1</v>
      </c>
      <c r="K33" s="15" t="n">
        <v>1</v>
      </c>
      <c r="L33" s="15" t="s">
        <v>155</v>
      </c>
      <c r="M33" s="46" t="s">
        <v>306</v>
      </c>
      <c r="N33" s="15" t="n">
        <v>0</v>
      </c>
      <c r="O33" s="15" t="n">
        <v>0</v>
      </c>
      <c r="P33" s="49" t="s">
        <v>222</v>
      </c>
      <c r="Q33" s="46" t="s">
        <v>279</v>
      </c>
      <c r="R33" s="15" t="n">
        <v>0</v>
      </c>
      <c r="S33" s="46" t="s">
        <v>307</v>
      </c>
      <c r="T33" s="46" t="n">
        <v>0</v>
      </c>
      <c r="U33" s="46" t="s">
        <v>308</v>
      </c>
      <c r="V33" s="15" t="s">
        <v>309</v>
      </c>
      <c r="W33" s="15" t="s">
        <v>172</v>
      </c>
    </row>
    <row r="34" customFormat="false" ht="15.75" hidden="false" customHeight="false" outlineLevel="0" collapsed="false">
      <c r="A34" s="15" t="s">
        <v>310</v>
      </c>
      <c r="B34" s="23" t="s">
        <v>311</v>
      </c>
      <c r="C34" s="15" t="s">
        <v>57</v>
      </c>
      <c r="D34" s="23" t="s">
        <v>312</v>
      </c>
      <c r="G34" s="15"/>
      <c r="H34" s="15"/>
      <c r="I34" s="15" t="n">
        <v>1</v>
      </c>
      <c r="J34" s="15" t="n">
        <v>1</v>
      </c>
      <c r="K34" s="15" t="s">
        <v>219</v>
      </c>
      <c r="L34" s="15" t="s">
        <v>219</v>
      </c>
      <c r="M34" s="46" t="s">
        <v>61</v>
      </c>
      <c r="N34" s="15" t="n">
        <v>0</v>
      </c>
      <c r="O34" s="15" t="n">
        <v>0</v>
      </c>
      <c r="P34" s="49" t="s">
        <v>222</v>
      </c>
      <c r="Q34" s="46" t="s">
        <v>313</v>
      </c>
      <c r="R34" s="15" t="n">
        <v>0</v>
      </c>
      <c r="S34" s="46" t="s">
        <v>219</v>
      </c>
      <c r="T34" s="46" t="n">
        <v>0</v>
      </c>
      <c r="U34" s="46" t="s">
        <v>314</v>
      </c>
      <c r="V34" s="15" t="s">
        <v>315</v>
      </c>
      <c r="W34" s="23" t="s">
        <v>316</v>
      </c>
    </row>
    <row r="35" customFormat="false" ht="15.75" hidden="false" customHeight="false" outlineLevel="0" collapsed="false">
      <c r="A35" s="15" t="s">
        <v>317</v>
      </c>
      <c r="B35" s="23" t="s">
        <v>318</v>
      </c>
      <c r="C35" s="15" t="s">
        <v>57</v>
      </c>
      <c r="D35" s="23" t="s">
        <v>319</v>
      </c>
      <c r="J35" s="15" t="n">
        <v>1</v>
      </c>
      <c r="K35" s="15" t="n">
        <v>1</v>
      </c>
      <c r="L35" s="15" t="s">
        <v>320</v>
      </c>
      <c r="M35" s="46" t="s">
        <v>219</v>
      </c>
      <c r="N35" s="15" t="n">
        <v>0</v>
      </c>
      <c r="O35" s="15" t="n">
        <v>1</v>
      </c>
      <c r="P35" s="46" t="s">
        <v>321</v>
      </c>
      <c r="Q35" s="49" t="s">
        <v>322</v>
      </c>
      <c r="R35" s="15" t="n">
        <v>0</v>
      </c>
      <c r="S35" s="46" t="s">
        <v>323</v>
      </c>
      <c r="T35" s="46" t="n">
        <v>1</v>
      </c>
      <c r="U35" s="46" t="s">
        <v>324</v>
      </c>
      <c r="V35" s="15" t="s">
        <v>192</v>
      </c>
      <c r="W35" s="15" t="s">
        <v>325</v>
      </c>
    </row>
    <row r="36" customFormat="false" ht="15.75" hidden="false" customHeight="false" outlineLevel="0" collapsed="false">
      <c r="A36" s="15" t="s">
        <v>326</v>
      </c>
      <c r="B36" s="23" t="s">
        <v>327</v>
      </c>
      <c r="C36" s="15" t="s">
        <v>328</v>
      </c>
      <c r="D36" s="23" t="s">
        <v>329</v>
      </c>
      <c r="J36" s="15" t="n">
        <v>1</v>
      </c>
      <c r="K36" s="15" t="s">
        <v>219</v>
      </c>
      <c r="L36" s="15" t="s">
        <v>219</v>
      </c>
      <c r="M36" s="15" t="s">
        <v>219</v>
      </c>
      <c r="N36" s="15" t="n">
        <v>0</v>
      </c>
      <c r="O36" s="15" t="n">
        <v>0</v>
      </c>
      <c r="P36" s="15" t="s">
        <v>219</v>
      </c>
      <c r="Q36" s="46" t="s">
        <v>279</v>
      </c>
      <c r="R36" s="15" t="n">
        <v>0</v>
      </c>
      <c r="S36" s="15" t="s">
        <v>219</v>
      </c>
      <c r="T36" s="46" t="n">
        <v>0</v>
      </c>
      <c r="U36" s="49" t="s">
        <v>330</v>
      </c>
      <c r="V36" s="15" t="s">
        <v>331</v>
      </c>
      <c r="W36" s="15" t="s">
        <v>332</v>
      </c>
    </row>
    <row r="37" customFormat="false" ht="15.75" hidden="false" customHeight="false" outlineLevel="0" collapsed="false">
      <c r="A37" s="15" t="s">
        <v>333</v>
      </c>
      <c r="B37" s="23" t="s">
        <v>334</v>
      </c>
      <c r="C37" s="15" t="s">
        <v>335</v>
      </c>
      <c r="D37" s="23" t="s">
        <v>336</v>
      </c>
      <c r="J37" s="15" t="n">
        <v>1</v>
      </c>
      <c r="K37" s="15" t="n">
        <v>1</v>
      </c>
      <c r="L37" s="15" t="s">
        <v>337</v>
      </c>
      <c r="M37" s="15" t="s">
        <v>338</v>
      </c>
      <c r="N37" s="15" t="n">
        <v>1</v>
      </c>
      <c r="O37" s="15" t="n">
        <v>1</v>
      </c>
      <c r="P37" s="46" t="s">
        <v>339</v>
      </c>
      <c r="Q37" s="46" t="s">
        <v>340</v>
      </c>
      <c r="R37" s="15" t="n">
        <v>0</v>
      </c>
      <c r="S37" s="15" t="s">
        <v>341</v>
      </c>
      <c r="T37" s="46" t="n">
        <v>1</v>
      </c>
      <c r="U37" s="46" t="s">
        <v>342</v>
      </c>
      <c r="V37" s="15" t="s">
        <v>343</v>
      </c>
      <c r="W37" s="23" t="s">
        <v>344</v>
      </c>
    </row>
    <row r="38" customFormat="false" ht="15.75" hidden="false" customHeight="false" outlineLevel="0" collapsed="false">
      <c r="A38" s="15" t="s">
        <v>345</v>
      </c>
      <c r="B38" s="15" t="s">
        <v>346</v>
      </c>
      <c r="C38" s="15" t="s">
        <v>114</v>
      </c>
      <c r="D38" s="23" t="s">
        <v>347</v>
      </c>
      <c r="J38" s="15" t="n">
        <v>1</v>
      </c>
      <c r="K38" s="15" t="s">
        <v>219</v>
      </c>
      <c r="L38" s="48" t="s">
        <v>219</v>
      </c>
      <c r="M38" s="48" t="s">
        <v>219</v>
      </c>
      <c r="N38" s="15" t="n">
        <v>1</v>
      </c>
      <c r="O38" s="15" t="n">
        <v>0</v>
      </c>
      <c r="P38" s="46" t="s">
        <v>219</v>
      </c>
      <c r="Q38" s="46" t="s">
        <v>219</v>
      </c>
      <c r="R38" s="15" t="n">
        <v>0</v>
      </c>
      <c r="S38" s="46" t="s">
        <v>219</v>
      </c>
      <c r="T38" s="46" t="n">
        <v>1</v>
      </c>
      <c r="U38" s="15" t="s">
        <v>348</v>
      </c>
      <c r="V38" s="15" t="s">
        <v>349</v>
      </c>
      <c r="W38" s="15" t="s">
        <v>219</v>
      </c>
    </row>
    <row r="39" customFormat="false" ht="15.75" hidden="false" customHeight="false" outlineLevel="0" collapsed="false">
      <c r="A39" s="15" t="s">
        <v>350</v>
      </c>
      <c r="B39" s="15" t="s">
        <v>351</v>
      </c>
      <c r="C39" s="15" t="s">
        <v>22</v>
      </c>
      <c r="D39" s="23" t="s">
        <v>352</v>
      </c>
      <c r="J39" s="15" t="n">
        <v>1</v>
      </c>
      <c r="K39" s="15" t="s">
        <v>219</v>
      </c>
      <c r="L39" s="15" t="s">
        <v>353</v>
      </c>
      <c r="M39" s="46" t="s">
        <v>219</v>
      </c>
      <c r="N39" s="15" t="n">
        <v>1</v>
      </c>
      <c r="O39" s="15" t="n">
        <v>1</v>
      </c>
      <c r="P39" s="46" t="s">
        <v>354</v>
      </c>
      <c r="Q39" s="49" t="s">
        <v>355</v>
      </c>
      <c r="R39" s="15" t="n">
        <v>0</v>
      </c>
      <c r="S39" s="46" t="s">
        <v>219</v>
      </c>
      <c r="T39" s="46" t="n">
        <v>7</v>
      </c>
      <c r="U39" s="46" t="s">
        <v>356</v>
      </c>
      <c r="V39" s="15" t="s">
        <v>192</v>
      </c>
      <c r="W39" s="15" t="s">
        <v>357</v>
      </c>
    </row>
    <row r="40" customFormat="false" ht="15.75" hidden="false" customHeight="false" outlineLevel="0" collapsed="false">
      <c r="A40" s="15" t="s">
        <v>358</v>
      </c>
      <c r="B40" s="15" t="s">
        <v>359</v>
      </c>
      <c r="C40" s="15" t="s">
        <v>360</v>
      </c>
      <c r="D40" s="23" t="s">
        <v>361</v>
      </c>
      <c r="J40" s="15" t="n">
        <v>1</v>
      </c>
      <c r="K40" s="15" t="n">
        <v>2</v>
      </c>
      <c r="L40" s="15" t="s">
        <v>219</v>
      </c>
      <c r="M40" s="46" t="s">
        <v>362</v>
      </c>
      <c r="N40" s="15" t="n">
        <v>1</v>
      </c>
      <c r="O40" s="15" t="n">
        <v>0</v>
      </c>
      <c r="P40" s="46" t="s">
        <v>219</v>
      </c>
      <c r="Q40" s="46" t="s">
        <v>363</v>
      </c>
      <c r="R40" s="15" t="n">
        <v>0</v>
      </c>
      <c r="S40" s="46" t="s">
        <v>219</v>
      </c>
      <c r="T40" s="46" t="n">
        <v>1</v>
      </c>
      <c r="U40" s="49" t="s">
        <v>364</v>
      </c>
      <c r="V40" s="15" t="s">
        <v>365</v>
      </c>
      <c r="W40" s="15" t="s">
        <v>366</v>
      </c>
    </row>
    <row r="1048576" customFormat="false" ht="15.75" hidden="false" customHeight="true" outlineLevel="0" collapsed="false"/>
  </sheetData>
  <mergeCells count="1">
    <mergeCell ref="A1:U1"/>
  </mergeCells>
  <hyperlinks>
    <hyperlink ref="D3" r:id="rId1" display="https://www.b-human.de/"/>
    <hyperlink ref="D5" r:id="rId2" display="http://robolab.cse.unsw.edu.au/robocup/"/>
    <hyperlink ref="D6" r:id="rId3" display="https://naodevils.de/"/>
    <hyperlink ref="D7" r:id="rId4" display="http://www.cs.utexas.edu/~AustinVilla/?p=nao"/>
    <hyperlink ref="D8" r:id="rId5" display="http://www.mipal.net.au/"/>
    <hyperlink ref="B9" r:id="rId6" display="College of Electronics and Information Engineering, Tongji University"/>
    <hyperlink ref="D9" r:id="rId7" display="http://rail.tongji.edu.cn/"/>
    <hyperlink ref="B10" r:id="rId8" display="Goethe University Frankfurt am Main"/>
    <hyperlink ref="D10" r:id="rId9" display="http://www.bembelbots.de/"/>
    <hyperlink ref="D11" r:id="rId10" display="http://naoth.de/"/>
    <hyperlink ref="B12" r:id="rId11" display="Hamburg University of Technology"/>
    <hyperlink ref="D12" r:id="rId12" display="http://www.hulks.de/"/>
    <hyperlink ref="W12" r:id="rId13" location="f49c81989f87b480819c9cda9091" display="hulks@tuhh.de"/>
    <hyperlink ref="B13" r:id="rId14" display="Aichi Prefectural University"/>
    <hyperlink ref="D13" r:id="rId15" display="http://www.ist.aichi-pu.ac.jp/lab/robocup-spl/index.html"/>
    <hyperlink ref="D14" r:id="rId16" display="http://www.robocup.ethz.ch/"/>
    <hyperlink ref="W14" r:id="rId17" display="nomadz@ethz.ch"/>
    <hyperlink ref="B15" r:id="rId18" display="Universiteit van Amsterdam, Faculty of Science, Informatics Institute"/>
    <hyperlink ref="D15" r:id="rId19" display="http://dutchnaoteam.nl/"/>
    <hyperlink ref="D16" r:id="rId20" display="https://fling.seas.upenn.edu/~robocup/wiki/"/>
    <hyperlink ref="B17" r:id="rId21" display="École de Technologie Supérieur"/>
    <hyperlink ref="D17" r:id="rId22" display="https://en.clubnaova.ca/"/>
    <hyperlink ref="B18" r:id="rId23" display="Computer, Control and Management Engineering “Antonio Ruberti” at La Sapienza University of Rome"/>
    <hyperlink ref="D18" r:id="rId24" display="http://spqr.diag.uniroma1.it/"/>
    <hyperlink ref="B19" r:id="rId25" display="Department of Computer Science and Information Engineering, National Taiwan University"/>
    <hyperlink ref="D19" r:id="rId26" display="https://sites.google.com/site/nturobopalspl/"/>
    <hyperlink ref="D20" r:id="rId27" display="http://www.roboeireann.ie/"/>
    <hyperlink ref="B21" r:id="rId28" display="Universidad de La Sabana"/>
    <hyperlink ref="D21" r:id="rId29" display="http://sabanaherons.co/"/>
    <hyperlink ref="B22" r:id="rId30" display="Moscow institute of physics and technology (MIPT)"/>
    <hyperlink ref="D22" r:id="rId31" display="http://starkit.ru/"/>
    <hyperlink ref="D23" r:id="rId32" display="http://uchilert.amtc.cl/"/>
    <hyperlink ref="D24" r:id="rId33" display="http://robotica.itam.mx/spl"/>
    <hyperlink ref="B25" r:id="rId34" display="Federal University of Juiz de Fora (UFJF)"/>
    <hyperlink ref="D25" r:id="rId35" display="https://www.facebook.com/rinobot/"/>
    <hyperlink ref="D26" r:id="rId36" display="https://www.facebook.com/unbeatablesbr"/>
    <hyperlink ref="D27" r:id="rId37" display="https://www.engineering.unsw.edu.au/computer-science-engineering/help-resources/students/student-projects/robocup"/>
    <hyperlink ref="B28" r:id="rId38" display="Lab of Robotics, School of Information and Electrical Engineering, Ludong University"/>
    <hyperlink ref="D28" r:id="rId39" display="http://www.wrightocean.org/"/>
    <hyperlink ref="B29" r:id="rId40" display="Mechatronics Research Laboratory, Qazvin Azad University"/>
    <hyperlink ref="D30" r:id="rId41" display="http://www.er.ams.eng.osaka-u.ac.jp/ichinose/Joitech_HP/"/>
    <hyperlink ref="B31" r:id="rId42" display="University of Luxembourg – SnT (Interdisciplinary Centre for Security, Reliability and Trust)"/>
    <hyperlink ref="D31" r:id="rId43" display="https://luxembourg-united.uni.lu/"/>
    <hyperlink ref="D32" r:id="rId44" display="https://www.ida.liu.se/projects/humanoids,https://www.facebook.com/LiUHumanoids/"/>
    <hyperlink ref="B33" r:id="rId45" display="Department of Computer Science and Information Engineering, National Taiwan University"/>
    <hyperlink ref="D33" r:id="rId46" display="https://sites.google.com/site/nturobopalspl/"/>
    <hyperlink ref="B34" r:id="rId47" display="Department of Computer Science, University of Miami"/>
    <hyperlink ref="D34" r:id="rId48" display="http://robocanes.cs.miami.edu/"/>
    <hyperlink ref="W34" r:id="rId49" display="robocanes@cs.miami.edu"/>
    <hyperlink ref="B35" r:id="rId50" display="Bowdoin College"/>
    <hyperlink ref="D35" r:id="rId51" display="http://research.bowdoin.edu/robocup/"/>
    <hyperlink ref="B36" r:id="rId52" display="iCV group at IMS Lab of University of Tartu"/>
    <hyperlink ref="D36" r:id="rId53" display="http://icv.ims.ut.ee/philosopher"/>
    <hyperlink ref="B37" r:id="rId54" display="Robotics and Intelligent Systems Engineering (RISE) Research Center, SMME, NUST"/>
    <hyperlink ref="D37" r:id="rId55" display="http://rise.smme.nust.edu.pk/projects/RoboCupSPL/"/>
    <hyperlink ref="W37" r:id="rId56" display="yasar@smme.nust.edu.pk"/>
    <hyperlink ref="D38" r:id="rId57" display="https://robocup.ethz.ch/events/z-knipsers-open-house/"/>
    <hyperlink ref="D39" r:id="rId58" display="http://www.dainamite.de/"/>
    <hyperlink ref="D40" r:id="rId59" display="http://www.austrian-kangaroos.com/,https://www.acin.tuwien.ac.at/en/project/austrian-kangaroos/"/>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true" outlineLevel="0" max="1" min="1" style="0" width="7.42"/>
    <col collapsed="false" customWidth="true" hidden="false" outlineLevel="0" max="2" min="2" style="0" width="6.29"/>
    <col collapsed="false" customWidth="true" hidden="false" outlineLevel="0" max="3" min="3" style="0" width="26.29"/>
    <col collapsed="false" customWidth="true" hidden="false" outlineLevel="0" max="4" min="4" style="0" width="12.29"/>
    <col collapsed="false" customWidth="true" hidden="false" outlineLevel="0" max="5" min="5" style="0" width="22.86"/>
    <col collapsed="false" customWidth="true" hidden="false" outlineLevel="0" max="6" min="6" style="0" width="35"/>
    <col collapsed="false" customWidth="true" hidden="false" outlineLevel="0" max="1025" min="7" style="0" width="14.43"/>
  </cols>
  <sheetData>
    <row r="1" customFormat="false" ht="15.75" hidden="false" customHeight="true" outlineLevel="0" collapsed="false">
      <c r="A1" s="51" t="s">
        <v>367</v>
      </c>
      <c r="B1" s="51" t="s">
        <v>368</v>
      </c>
      <c r="C1" s="52" t="s">
        <v>369</v>
      </c>
      <c r="D1" s="53" t="s">
        <v>370</v>
      </c>
      <c r="E1" s="53" t="s">
        <v>371</v>
      </c>
    </row>
    <row r="2" customFormat="false" ht="15.75" hidden="false" customHeight="false" outlineLevel="0" collapsed="false">
      <c r="A2" s="51"/>
      <c r="B2" s="51"/>
      <c r="C2" s="51"/>
      <c r="D2" s="51"/>
      <c r="E2" s="51"/>
      <c r="F2" s="54"/>
    </row>
    <row r="3" customFormat="false" ht="15.75" hidden="false" customHeight="false" outlineLevel="0" collapsed="false">
      <c r="A3" s="55" t="s">
        <v>372</v>
      </c>
      <c r="B3" s="55" t="n">
        <v>1999</v>
      </c>
      <c r="C3" s="55" t="s">
        <v>373</v>
      </c>
      <c r="D3" s="55" t="s">
        <v>374</v>
      </c>
      <c r="E3" s="56"/>
    </row>
    <row r="4" customFormat="false" ht="15.75" hidden="false" customHeight="false" outlineLevel="0" collapsed="false">
      <c r="A4" s="57" t="s">
        <v>375</v>
      </c>
      <c r="B4" s="57" t="n">
        <v>2000</v>
      </c>
      <c r="C4" s="57" t="s">
        <v>376</v>
      </c>
      <c r="D4" s="55" t="s">
        <v>374</v>
      </c>
      <c r="E4" s="56"/>
      <c r="F4" s="54"/>
    </row>
    <row r="5" customFormat="false" ht="15.75" hidden="false" customHeight="false" outlineLevel="0" collapsed="false">
      <c r="A5" s="55" t="s">
        <v>377</v>
      </c>
      <c r="B5" s="55" t="n">
        <v>2001</v>
      </c>
      <c r="C5" s="55" t="s">
        <v>378</v>
      </c>
      <c r="D5" s="55" t="s">
        <v>374</v>
      </c>
      <c r="E5" s="56"/>
      <c r="F5" s="54"/>
    </row>
    <row r="6" customFormat="false" ht="15.75" hidden="false" customHeight="false" outlineLevel="0" collapsed="false">
      <c r="A6" s="57" t="s">
        <v>379</v>
      </c>
      <c r="B6" s="57" t="n">
        <v>2002</v>
      </c>
      <c r="C6" s="57" t="s">
        <v>380</v>
      </c>
      <c r="D6" s="55" t="s">
        <v>374</v>
      </c>
      <c r="E6" s="56" t="n">
        <v>1</v>
      </c>
      <c r="F6" s="54"/>
    </row>
    <row r="7" customFormat="false" ht="15.75" hidden="false" customHeight="false" outlineLevel="0" collapsed="false">
      <c r="A7" s="55" t="s">
        <v>381</v>
      </c>
      <c r="B7" s="55" t="n">
        <v>2003</v>
      </c>
      <c r="C7" s="55" t="s">
        <v>382</v>
      </c>
      <c r="D7" s="55" t="s">
        <v>374</v>
      </c>
      <c r="E7" s="56"/>
      <c r="F7" s="54"/>
    </row>
    <row r="8" customFormat="false" ht="15.75" hidden="false" customHeight="false" outlineLevel="0" collapsed="false">
      <c r="A8" s="57" t="s">
        <v>383</v>
      </c>
      <c r="B8" s="57" t="n">
        <v>2004</v>
      </c>
      <c r="C8" s="57" t="s">
        <v>384</v>
      </c>
      <c r="D8" s="57" t="n">
        <v>23</v>
      </c>
      <c r="E8" s="56"/>
      <c r="F8" s="54"/>
    </row>
    <row r="9" customFormat="false" ht="15.75" hidden="false" customHeight="false" outlineLevel="0" collapsed="false">
      <c r="A9" s="55" t="s">
        <v>385</v>
      </c>
      <c r="B9" s="55" t="n">
        <v>2005</v>
      </c>
      <c r="C9" s="55" t="s">
        <v>386</v>
      </c>
      <c r="D9" s="55" t="n">
        <v>24</v>
      </c>
      <c r="E9" s="56"/>
      <c r="F9" s="54"/>
    </row>
    <row r="10" customFormat="false" ht="15.75" hidden="false" customHeight="false" outlineLevel="0" collapsed="false">
      <c r="A10" s="57" t="s">
        <v>387</v>
      </c>
      <c r="B10" s="57" t="n">
        <v>2006</v>
      </c>
      <c r="C10" s="57" t="s">
        <v>388</v>
      </c>
      <c r="D10" s="57" t="n">
        <v>24</v>
      </c>
      <c r="E10" s="56" t="n">
        <v>1</v>
      </c>
      <c r="F10" s="54"/>
    </row>
    <row r="11" customFormat="false" ht="15.75" hidden="false" customHeight="false" outlineLevel="0" collapsed="false">
      <c r="A11" s="55" t="s">
        <v>389</v>
      </c>
      <c r="B11" s="55" t="n">
        <v>2007</v>
      </c>
      <c r="C11" s="55" t="s">
        <v>390</v>
      </c>
      <c r="D11" s="55" t="n">
        <v>24</v>
      </c>
      <c r="E11" s="56"/>
      <c r="F11" s="54"/>
    </row>
    <row r="12" customFormat="false" ht="15.75" hidden="false" customHeight="false" outlineLevel="0" collapsed="false">
      <c r="A12" s="57" t="s">
        <v>391</v>
      </c>
      <c r="B12" s="57" t="n">
        <v>2008</v>
      </c>
      <c r="C12" s="57" t="s">
        <v>392</v>
      </c>
      <c r="D12" s="57" t="n">
        <v>25</v>
      </c>
      <c r="E12" s="56"/>
      <c r="F12" s="54"/>
    </row>
    <row r="13" customFormat="false" ht="15.75" hidden="false" customHeight="false" outlineLevel="0" collapsed="false">
      <c r="A13" s="55" t="s">
        <v>393</v>
      </c>
      <c r="B13" s="55" t="n">
        <v>2009</v>
      </c>
      <c r="C13" s="55" t="s">
        <v>394</v>
      </c>
      <c r="D13" s="55" t="n">
        <v>24</v>
      </c>
      <c r="E13" s="56"/>
      <c r="F13" s="54"/>
    </row>
    <row r="14" customFormat="false" ht="15.75" hidden="false" customHeight="false" outlineLevel="0" collapsed="false">
      <c r="A14" s="57" t="s">
        <v>395</v>
      </c>
      <c r="B14" s="57" t="n">
        <v>2010</v>
      </c>
      <c r="C14" s="57" t="s">
        <v>396</v>
      </c>
      <c r="D14" s="57" t="n">
        <v>23</v>
      </c>
      <c r="E14" s="56" t="n">
        <v>1</v>
      </c>
      <c r="F14" s="54"/>
    </row>
    <row r="15" customFormat="false" ht="15.75" hidden="false" customHeight="false" outlineLevel="0" collapsed="false">
      <c r="A15" s="58" t="s">
        <v>397</v>
      </c>
      <c r="B15" s="55" t="n">
        <v>2011</v>
      </c>
      <c r="C15" s="55" t="s">
        <v>398</v>
      </c>
      <c r="D15" s="55" t="n">
        <v>27</v>
      </c>
      <c r="E15" s="59"/>
      <c r="F15" s="54"/>
    </row>
    <row r="16" customFormat="false" ht="15.75" hidden="false" customHeight="false" outlineLevel="0" collapsed="false">
      <c r="A16" s="57" t="s">
        <v>399</v>
      </c>
      <c r="B16" s="57" t="n">
        <v>2012</v>
      </c>
      <c r="C16" s="57" t="s">
        <v>400</v>
      </c>
      <c r="D16" s="57" t="n">
        <v>25</v>
      </c>
      <c r="E16" s="56"/>
      <c r="F16" s="54"/>
    </row>
    <row r="17" customFormat="false" ht="15.75" hidden="false" customHeight="false" outlineLevel="0" collapsed="false">
      <c r="A17" s="55" t="s">
        <v>401</v>
      </c>
      <c r="B17" s="55" t="n">
        <v>2013</v>
      </c>
      <c r="C17" s="55" t="s">
        <v>402</v>
      </c>
      <c r="D17" s="55" t="n">
        <v>21</v>
      </c>
      <c r="E17" s="56"/>
      <c r="F17" s="54"/>
    </row>
    <row r="18" customFormat="false" ht="15.75" hidden="false" customHeight="false" outlineLevel="0" collapsed="false">
      <c r="A18" s="57" t="s">
        <v>403</v>
      </c>
      <c r="B18" s="57" t="n">
        <v>2014</v>
      </c>
      <c r="C18" s="57" t="s">
        <v>404</v>
      </c>
      <c r="D18" s="57" t="n">
        <v>25</v>
      </c>
      <c r="E18" s="56" t="n">
        <v>1</v>
      </c>
      <c r="F18" s="54"/>
    </row>
    <row r="19" customFormat="false" ht="15.75" hidden="false" customHeight="false" outlineLevel="0" collapsed="false">
      <c r="A19" s="60" t="n">
        <v>2015</v>
      </c>
      <c r="B19" s="55" t="n">
        <v>2015</v>
      </c>
      <c r="C19" s="55" t="s">
        <v>405</v>
      </c>
      <c r="D19" s="55" t="n">
        <v>29</v>
      </c>
      <c r="E19" s="59"/>
      <c r="F19" s="54"/>
    </row>
    <row r="20" customFormat="false" ht="15.75" hidden="false" customHeight="false" outlineLevel="0" collapsed="false">
      <c r="A20" s="57" t="n">
        <v>2016</v>
      </c>
      <c r="B20" s="57" t="n">
        <v>2016</v>
      </c>
      <c r="C20" s="57" t="s">
        <v>406</v>
      </c>
      <c r="D20" s="57" t="n">
        <v>26</v>
      </c>
      <c r="E20" s="56"/>
      <c r="F20" s="61"/>
    </row>
    <row r="21" customFormat="false" ht="15.75" hidden="false" customHeight="false" outlineLevel="0" collapsed="false">
      <c r="A21" s="62" t="n">
        <v>2017</v>
      </c>
      <c r="B21" s="62" t="n">
        <v>2017</v>
      </c>
      <c r="C21" s="62" t="s">
        <v>407</v>
      </c>
      <c r="D21" s="63" t="n">
        <v>24</v>
      </c>
      <c r="E21" s="56"/>
      <c r="F21" s="61"/>
    </row>
    <row r="22" customFormat="false" ht="15.75" hidden="false" customHeight="false" outlineLevel="0" collapsed="false">
      <c r="A22" s="57" t="n">
        <v>2018</v>
      </c>
      <c r="B22" s="57" t="n">
        <v>2018</v>
      </c>
      <c r="C22" s="57" t="s">
        <v>408</v>
      </c>
      <c r="D22" s="57" t="n">
        <v>21</v>
      </c>
      <c r="E22" s="56" t="n">
        <v>1</v>
      </c>
      <c r="F22" s="61"/>
    </row>
    <row r="23" customFormat="false" ht="15.75" hidden="false" customHeight="false" outlineLevel="0" collapsed="false">
      <c r="A23" s="62" t="n">
        <v>2019</v>
      </c>
      <c r="B23" s="62" t="n">
        <v>2019</v>
      </c>
      <c r="C23" s="62" t="s">
        <v>409</v>
      </c>
      <c r="D23" s="63" t="n">
        <v>20</v>
      </c>
      <c r="E23" s="56"/>
      <c r="F23" s="61"/>
    </row>
    <row r="25" customFormat="false" ht="15.75" hidden="false" customHeight="false" outlineLevel="0" collapsed="false">
      <c r="B25" s="15" t="s">
        <v>410</v>
      </c>
    </row>
    <row r="26" customFormat="false" ht="15.75" hidden="false" customHeight="false" outlineLevel="0" collapsed="false">
      <c r="B26" s="54" t="s">
        <v>411</v>
      </c>
    </row>
    <row r="27" customFormat="false" ht="15.75" hidden="false" customHeight="false" outlineLevel="0" collapsed="false">
      <c r="B27" s="54" t="s">
        <v>412</v>
      </c>
    </row>
  </sheetData>
  <mergeCells count="5">
    <mergeCell ref="A1:A2"/>
    <mergeCell ref="B1:B2"/>
    <mergeCell ref="C1:C2"/>
    <mergeCell ref="D1:D2"/>
    <mergeCell ref="E1:E2"/>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sheetPr filterMode="false">
    <pageSetUpPr fitToPage="false"/>
  </sheetPr>
  <dimension ref="C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025" min="1" style="0" width="14.43"/>
  </cols>
  <sheetData>
    <row r="1" customFormat="false" ht="15.75" hidden="false" customHeight="false" outlineLevel="0" collapsed="false">
      <c r="C1" s="64" t="s">
        <v>413</v>
      </c>
    </row>
    <row r="2" customFormat="false" ht="15.75" hidden="false" customHeight="false" outlineLevel="0" collapsed="false">
      <c r="C2" s="64" t="s">
        <v>414</v>
      </c>
    </row>
    <row r="3" customFormat="false" ht="15.75" hidden="false" customHeight="false" outlineLevel="0" collapsed="false">
      <c r="C3" s="64" t="s">
        <v>415</v>
      </c>
    </row>
    <row r="4" customFormat="false" ht="15.75" hidden="false" customHeight="false" outlineLevel="0" collapsed="false">
      <c r="C4" s="64" t="s">
        <v>416</v>
      </c>
    </row>
    <row r="5" customFormat="false" ht="15.75" hidden="false" customHeight="false" outlineLevel="0" collapsed="false">
      <c r="C5" s="64" t="s">
        <v>417</v>
      </c>
    </row>
    <row r="6" customFormat="false" ht="15.75" hidden="false" customHeight="false" outlineLevel="0" collapsed="false">
      <c r="C6" s="64" t="s">
        <v>418</v>
      </c>
    </row>
    <row r="7" customFormat="false" ht="15.75" hidden="false" customHeight="false" outlineLevel="0" collapsed="false">
      <c r="C7" s="64" t="s">
        <v>419</v>
      </c>
    </row>
    <row r="8" customFormat="false" ht="15.75" hidden="false" customHeight="false" outlineLevel="0" collapsed="false">
      <c r="C8" s="64" t="s">
        <v>420</v>
      </c>
    </row>
    <row r="9" customFormat="false" ht="15.75" hidden="false" customHeight="false" outlineLevel="0" collapsed="false">
      <c r="C9" s="64" t="s">
        <v>421</v>
      </c>
    </row>
    <row r="10" customFormat="false" ht="15.75" hidden="false" customHeight="false" outlineLevel="0" collapsed="false">
      <c r="C10" s="64" t="s">
        <v>422</v>
      </c>
    </row>
    <row r="11" customFormat="false" ht="15.75" hidden="false" customHeight="false" outlineLevel="0" collapsed="false">
      <c r="C11" s="64" t="s">
        <v>423</v>
      </c>
    </row>
    <row r="12" customFormat="false" ht="15.75" hidden="false" customHeight="false" outlineLevel="0" collapsed="false">
      <c r="C12" s="64" t="s">
        <v>424</v>
      </c>
    </row>
    <row r="13" customFormat="false" ht="15.75" hidden="false" customHeight="false" outlineLevel="0" collapsed="false">
      <c r="C13" s="64" t="s">
        <v>425</v>
      </c>
    </row>
    <row r="14" customFormat="false" ht="15.75" hidden="false" customHeight="false" outlineLevel="0" collapsed="false">
      <c r="C14" s="65"/>
    </row>
    <row r="15" customFormat="false" ht="15.75" hidden="false" customHeight="false" outlineLevel="0" collapsed="false">
      <c r="C15" s="65"/>
    </row>
    <row r="16" customFormat="false" ht="15.75" hidden="false" customHeight="false" outlineLevel="0" collapsed="false">
      <c r="C16" s="65"/>
    </row>
    <row r="17" customFormat="false" ht="15.75" hidden="false" customHeight="false" outlineLevel="0" collapsed="false">
      <c r="C17" s="15" t="s">
        <v>426</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8.71"/>
    <col collapsed="false" customWidth="true" hidden="false" outlineLevel="0" max="2" min="2" style="0" width="21.57"/>
    <col collapsed="false" customWidth="true" hidden="false" outlineLevel="0" max="10" min="3" style="0" width="5.14"/>
    <col collapsed="false" customWidth="false" hidden="false" outlineLevel="0" max="11" min="11" style="0" width="11.57"/>
    <col collapsed="false" customWidth="true" hidden="false" outlineLevel="0" max="12" min="12" style="0" width="12.71"/>
    <col collapsed="false" customWidth="true" hidden="false" outlineLevel="0" max="15" min="13" style="0" width="5.14"/>
    <col collapsed="false" customWidth="true" hidden="false" outlineLevel="0" max="16" min="16" style="0" width="8.86"/>
    <col collapsed="false" customWidth="true" hidden="false" outlineLevel="0" max="17" min="17" style="0" width="9.13"/>
    <col collapsed="false" customWidth="true" hidden="false" outlineLevel="0" max="18" min="18" style="0" width="8.29"/>
    <col collapsed="false" customWidth="true" hidden="false" outlineLevel="0" max="20" min="19" style="0" width="8.71"/>
    <col collapsed="false" customWidth="true" hidden="false" outlineLevel="0" max="21" min="21" style="0" width="8.43"/>
    <col collapsed="false" customWidth="true" hidden="false" outlineLevel="0" max="1025" min="22" style="0" width="14.43"/>
  </cols>
  <sheetData>
    <row r="1" customFormat="false" ht="15.75" hidden="false" customHeight="false" outlineLevel="0" collapsed="false">
      <c r="A1" s="66" t="s">
        <v>3</v>
      </c>
      <c r="B1" s="66" t="s">
        <v>427</v>
      </c>
    </row>
    <row r="2" customFormat="false" ht="15.75" hidden="false" customHeight="false" outlineLevel="0" collapsed="false">
      <c r="A2" s="67" t="s">
        <v>22</v>
      </c>
      <c r="B2" s="67" t="n">
        <f aca="false">11+6+4</f>
        <v>21</v>
      </c>
    </row>
    <row r="3" customFormat="false" ht="15.75" hidden="false" customHeight="false" outlineLevel="0" collapsed="false">
      <c r="A3" s="67" t="s">
        <v>57</v>
      </c>
      <c r="B3" s="67" t="n">
        <f aca="false">4+1+1</f>
        <v>6</v>
      </c>
    </row>
    <row r="4" customFormat="false" ht="15.75" hidden="false" customHeight="false" outlineLevel="0" collapsed="false">
      <c r="A4" s="67" t="s">
        <v>38</v>
      </c>
      <c r="B4" s="67" t="n">
        <f aca="false">3+1+1</f>
        <v>5</v>
      </c>
    </row>
    <row r="5" customFormat="false" ht="15.75" hidden="false" customHeight="false" outlineLevel="0" collapsed="false">
      <c r="A5" s="67" t="s">
        <v>175</v>
      </c>
      <c r="B5" s="67" t="n">
        <v>1</v>
      </c>
    </row>
    <row r="6" customFormat="false" ht="15.75" hidden="false" customHeight="false" outlineLevel="0" collapsed="false">
      <c r="A6" s="67" t="s">
        <v>76</v>
      </c>
      <c r="B6" s="67" t="n">
        <v>1</v>
      </c>
    </row>
    <row r="7" customFormat="false" ht="15.75" hidden="false" customHeight="false" outlineLevel="0" collapsed="false">
      <c r="A7" s="67" t="s">
        <v>428</v>
      </c>
      <c r="B7" s="67" t="n">
        <v>1</v>
      </c>
    </row>
    <row r="8" customFormat="false" ht="15.75" hidden="false" customHeight="false" outlineLevel="0" collapsed="false">
      <c r="A8" s="67" t="s">
        <v>164</v>
      </c>
      <c r="B8" s="67" t="n">
        <v>1</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A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14.57"/>
    <col collapsed="false" customWidth="true" hidden="false" outlineLevel="0" max="2" min="2" style="0" width="18.71"/>
    <col collapsed="false" customWidth="true" hidden="false" outlineLevel="0" max="10" min="3" style="0" width="5.14"/>
    <col collapsed="false" customWidth="false" hidden="false" outlineLevel="0" max="11" min="11" style="0" width="11.57"/>
    <col collapsed="false" customWidth="true" hidden="false" outlineLevel="0" max="12" min="12" style="0" width="12.71"/>
    <col collapsed="false" customWidth="true" hidden="false" outlineLevel="0" max="16" min="13" style="0" width="5.14"/>
    <col collapsed="false" customWidth="true" hidden="false" outlineLevel="0" max="17" min="17" style="0" width="7.87"/>
    <col collapsed="false" customWidth="true" hidden="false" outlineLevel="0" max="18" min="18" style="0" width="5.86"/>
    <col collapsed="false" customWidth="true" hidden="false" outlineLevel="0" max="19" min="19" style="0" width="7.14"/>
    <col collapsed="false" customWidth="true" hidden="false" outlineLevel="0" max="20" min="20" style="0" width="8"/>
    <col collapsed="false" customWidth="true" hidden="false" outlineLevel="0" max="21" min="21" style="0" width="8.43"/>
    <col collapsed="false" customWidth="true" hidden="false" outlineLevel="0" max="1025" min="22" style="0" width="14.43"/>
  </cols>
  <sheetData>
    <row r="1" customFormat="false" ht="15.75" hidden="false" customHeight="false" outlineLevel="0" collapsed="false">
      <c r="A1" s="68" t="s">
        <v>3</v>
      </c>
      <c r="B1" s="69" t="s">
        <v>1</v>
      </c>
      <c r="C1" s="69" t="n">
        <v>2008</v>
      </c>
      <c r="D1" s="69" t="n">
        <v>2009</v>
      </c>
      <c r="E1" s="69" t="n">
        <v>2010</v>
      </c>
      <c r="F1" s="69" t="n">
        <v>2011</v>
      </c>
      <c r="G1" s="69" t="n">
        <v>2012</v>
      </c>
      <c r="H1" s="69" t="n">
        <v>2013</v>
      </c>
      <c r="I1" s="69" t="n">
        <v>2014</v>
      </c>
      <c r="J1" s="69" t="n">
        <v>2015</v>
      </c>
      <c r="K1" s="69" t="s">
        <v>429</v>
      </c>
      <c r="L1" s="69" t="s">
        <v>430</v>
      </c>
      <c r="M1" s="69" t="n">
        <v>2017</v>
      </c>
      <c r="N1" s="69" t="n">
        <v>2018</v>
      </c>
      <c r="O1" s="69" t="n">
        <v>2019</v>
      </c>
      <c r="P1" s="69" t="s">
        <v>431</v>
      </c>
      <c r="Q1" s="69" t="s">
        <v>432</v>
      </c>
      <c r="R1" s="70" t="s">
        <v>433</v>
      </c>
      <c r="S1" s="71" t="s">
        <v>434</v>
      </c>
      <c r="T1" s="71" t="s">
        <v>435</v>
      </c>
      <c r="U1" s="71" t="s">
        <v>436</v>
      </c>
      <c r="V1" s="72"/>
      <c r="W1" s="72"/>
      <c r="X1" s="72"/>
      <c r="Y1" s="72"/>
      <c r="Z1" s="72"/>
      <c r="AA1" s="72"/>
    </row>
    <row r="2" customFormat="false" ht="15.75" hidden="false" customHeight="false" outlineLevel="0" collapsed="false">
      <c r="A2" s="73" t="s">
        <v>22</v>
      </c>
      <c r="B2" s="74" t="s">
        <v>20</v>
      </c>
      <c r="C2" s="75"/>
      <c r="D2" s="76" t="n">
        <v>1</v>
      </c>
      <c r="E2" s="76" t="n">
        <v>1</v>
      </c>
      <c r="F2" s="76" t="n">
        <v>1</v>
      </c>
      <c r="G2" s="77" t="n">
        <v>2</v>
      </c>
      <c r="H2" s="76" t="n">
        <v>1</v>
      </c>
      <c r="I2" s="78" t="n">
        <v>3</v>
      </c>
      <c r="J2" s="77" t="n">
        <v>2</v>
      </c>
      <c r="K2" s="76" t="n">
        <v>1</v>
      </c>
      <c r="L2" s="77" t="n">
        <v>2</v>
      </c>
      <c r="M2" s="76" t="n">
        <v>1</v>
      </c>
      <c r="N2" s="77" t="n">
        <v>2</v>
      </c>
      <c r="O2" s="79"/>
      <c r="P2" s="75" t="n">
        <v>6</v>
      </c>
      <c r="Q2" s="75" t="n">
        <v>4</v>
      </c>
      <c r="R2" s="80" t="n">
        <v>1</v>
      </c>
      <c r="S2" s="81" t="n">
        <f aca="false">SUM(P2:R2)</f>
        <v>11</v>
      </c>
      <c r="T2" s="81" t="s">
        <v>431</v>
      </c>
      <c r="U2" s="15" t="n">
        <v>1</v>
      </c>
    </row>
    <row r="3" customFormat="false" ht="15.75" hidden="false" customHeight="false" outlineLevel="0" collapsed="false">
      <c r="A3" s="73" t="s">
        <v>22</v>
      </c>
      <c r="B3" s="82" t="s">
        <v>28</v>
      </c>
      <c r="C3" s="75"/>
      <c r="D3" s="75"/>
      <c r="E3" s="75"/>
      <c r="F3" s="75"/>
      <c r="G3" s="75"/>
      <c r="H3" s="77" t="n">
        <v>2</v>
      </c>
      <c r="I3" s="77" t="n">
        <v>2</v>
      </c>
      <c r="J3" s="78" t="n">
        <v>3</v>
      </c>
      <c r="K3" s="78" t="n">
        <v>3</v>
      </c>
      <c r="L3" s="75"/>
      <c r="M3" s="77" t="n">
        <v>2</v>
      </c>
      <c r="N3" s="76" t="n">
        <v>1</v>
      </c>
      <c r="O3" s="79"/>
      <c r="P3" s="75" t="n">
        <v>1</v>
      </c>
      <c r="Q3" s="75" t="n">
        <v>3</v>
      </c>
      <c r="R3" s="80" t="n">
        <v>2</v>
      </c>
      <c r="S3" s="26" t="n">
        <f aca="false">SUM(P3:R3)</f>
        <v>6</v>
      </c>
      <c r="T3" s="26" t="s">
        <v>432</v>
      </c>
      <c r="U3" s="15" t="n">
        <v>2</v>
      </c>
    </row>
    <row r="4" customFormat="false" ht="15.75" hidden="false" customHeight="false" outlineLevel="0" collapsed="false">
      <c r="A4" s="73" t="s">
        <v>38</v>
      </c>
      <c r="B4" s="83" t="s">
        <v>36</v>
      </c>
      <c r="C4" s="75"/>
      <c r="D4" s="75"/>
      <c r="E4" s="77" t="n">
        <v>2</v>
      </c>
      <c r="F4" s="75"/>
      <c r="G4" s="78" t="n">
        <v>3</v>
      </c>
      <c r="H4" s="75"/>
      <c r="I4" s="76" t="n">
        <v>1</v>
      </c>
      <c r="J4" s="76" t="n">
        <v>1</v>
      </c>
      <c r="K4" s="79"/>
      <c r="L4" s="79"/>
      <c r="M4" s="79"/>
      <c r="N4" s="79"/>
      <c r="O4" s="79"/>
      <c r="P4" s="75" t="n">
        <v>2</v>
      </c>
      <c r="Q4" s="75" t="n">
        <v>1</v>
      </c>
      <c r="R4" s="80" t="n">
        <v>1</v>
      </c>
      <c r="S4" s="84" t="n">
        <f aca="false">SUM(P4:R4)</f>
        <v>4</v>
      </c>
      <c r="T4" s="84" t="s">
        <v>433</v>
      </c>
      <c r="U4" s="15" t="n">
        <v>3</v>
      </c>
    </row>
    <row r="5" customFormat="false" ht="15.75" hidden="false" customHeight="false" outlineLevel="0" collapsed="false">
      <c r="A5" s="73" t="s">
        <v>22</v>
      </c>
      <c r="B5" s="85" t="s">
        <v>437</v>
      </c>
      <c r="C5" s="75"/>
      <c r="D5" s="78" t="n">
        <v>3</v>
      </c>
      <c r="E5" s="75"/>
      <c r="F5" s="77" t="n">
        <v>2</v>
      </c>
      <c r="G5" s="75"/>
      <c r="H5" s="75"/>
      <c r="I5" s="75"/>
      <c r="J5" s="79"/>
      <c r="K5" s="79"/>
      <c r="L5" s="76" t="n">
        <v>1</v>
      </c>
      <c r="M5" s="78" t="n">
        <v>3</v>
      </c>
      <c r="N5" s="79"/>
      <c r="O5" s="79"/>
      <c r="P5" s="75" t="n">
        <v>1</v>
      </c>
      <c r="Q5" s="75" t="n">
        <v>1</v>
      </c>
      <c r="R5" s="80" t="n">
        <v>2</v>
      </c>
      <c r="S5" s="0" t="n">
        <f aca="false">SUM(P5:R5)</f>
        <v>4</v>
      </c>
      <c r="U5" s="15" t="n">
        <v>4</v>
      </c>
    </row>
    <row r="6" customFormat="false" ht="15.75" hidden="false" customHeight="false" outlineLevel="0" collapsed="false">
      <c r="A6" s="73" t="s">
        <v>57</v>
      </c>
      <c r="B6" s="85" t="s">
        <v>55</v>
      </c>
      <c r="C6" s="75"/>
      <c r="D6" s="75"/>
      <c r="E6" s="78" t="n">
        <v>3</v>
      </c>
      <c r="F6" s="75"/>
      <c r="G6" s="76" t="n">
        <v>1</v>
      </c>
      <c r="H6" s="78" t="n">
        <v>3</v>
      </c>
      <c r="I6" s="75"/>
      <c r="J6" s="79"/>
      <c r="K6" s="77" t="n">
        <v>2</v>
      </c>
      <c r="L6" s="79"/>
      <c r="M6" s="79"/>
      <c r="N6" s="79"/>
      <c r="O6" s="79"/>
      <c r="P6" s="75" t="n">
        <v>1</v>
      </c>
      <c r="Q6" s="75" t="n">
        <v>1</v>
      </c>
      <c r="R6" s="80" t="n">
        <v>2</v>
      </c>
      <c r="S6" s="0" t="n">
        <f aca="false">SUM(P6:R6)</f>
        <v>4</v>
      </c>
      <c r="U6" s="15" t="n">
        <v>5</v>
      </c>
    </row>
    <row r="7" customFormat="false" ht="15.75" hidden="false" customHeight="false" outlineLevel="0" collapsed="false">
      <c r="A7" s="86" t="s">
        <v>438</v>
      </c>
      <c r="B7" s="85" t="s">
        <v>439</v>
      </c>
      <c r="C7" s="76" t="n">
        <v>1</v>
      </c>
      <c r="D7" s="75"/>
      <c r="E7" s="75"/>
      <c r="F7" s="75"/>
      <c r="G7" s="75"/>
      <c r="H7" s="75"/>
      <c r="I7" s="79"/>
      <c r="J7" s="79"/>
      <c r="K7" s="79"/>
      <c r="L7" s="79"/>
      <c r="M7" s="79"/>
      <c r="N7" s="79"/>
      <c r="O7" s="79"/>
      <c r="P7" s="75" t="n">
        <v>1</v>
      </c>
      <c r="Q7" s="75" t="n">
        <v>0</v>
      </c>
      <c r="R7" s="80" t="n">
        <v>0</v>
      </c>
      <c r="S7" s="0" t="n">
        <f aca="false">SUM(P7:R7)</f>
        <v>1</v>
      </c>
      <c r="U7" s="15" t="n">
        <v>6</v>
      </c>
    </row>
    <row r="8" customFormat="false" ht="15.75" hidden="false" customHeight="false" outlineLevel="0" collapsed="false">
      <c r="A8" s="86" t="s">
        <v>57</v>
      </c>
      <c r="B8" s="85" t="s">
        <v>317</v>
      </c>
      <c r="C8" s="75"/>
      <c r="D8" s="77" t="n">
        <v>2</v>
      </c>
      <c r="E8" s="75"/>
      <c r="F8" s="75"/>
      <c r="G8" s="75"/>
      <c r="H8" s="75"/>
      <c r="I8" s="75"/>
      <c r="J8" s="79"/>
      <c r="K8" s="79"/>
      <c r="L8" s="79"/>
      <c r="M8" s="79"/>
      <c r="N8" s="79"/>
      <c r="O8" s="79"/>
      <c r="P8" s="75" t="n">
        <v>0</v>
      </c>
      <c r="Q8" s="75" t="n">
        <v>1</v>
      </c>
      <c r="R8" s="80" t="n">
        <v>0</v>
      </c>
      <c r="S8" s="0" t="n">
        <f aca="false">SUM(P8:R8)</f>
        <v>1</v>
      </c>
      <c r="U8" s="15" t="n">
        <v>7</v>
      </c>
    </row>
    <row r="9" customFormat="false" ht="15.75" hidden="false" customHeight="false" outlineLevel="0" collapsed="false">
      <c r="A9" s="86" t="s">
        <v>57</v>
      </c>
      <c r="B9" s="85" t="s">
        <v>440</v>
      </c>
      <c r="C9" s="77" t="n">
        <v>2</v>
      </c>
      <c r="D9" s="75"/>
      <c r="E9" s="75"/>
      <c r="F9" s="75"/>
      <c r="G9" s="75"/>
      <c r="H9" s="75"/>
      <c r="I9" s="75"/>
      <c r="J9" s="79"/>
      <c r="K9" s="79"/>
      <c r="L9" s="79"/>
      <c r="M9" s="79"/>
      <c r="N9" s="79"/>
      <c r="O9" s="79"/>
      <c r="P9" s="75" t="n">
        <v>0</v>
      </c>
      <c r="Q9" s="75" t="n">
        <v>1</v>
      </c>
      <c r="R9" s="80" t="n">
        <v>0</v>
      </c>
      <c r="S9" s="0" t="n">
        <f aca="false">SUM(P9:R9)</f>
        <v>1</v>
      </c>
      <c r="U9" s="15" t="n">
        <v>8</v>
      </c>
    </row>
    <row r="10" customFormat="false" ht="15.75" hidden="false" customHeight="false" outlineLevel="0" collapsed="false">
      <c r="A10" s="86" t="s">
        <v>76</v>
      </c>
      <c r="B10" s="87" t="s">
        <v>74</v>
      </c>
      <c r="C10" s="79"/>
      <c r="D10" s="79"/>
      <c r="E10" s="79"/>
      <c r="F10" s="79"/>
      <c r="G10" s="79"/>
      <c r="H10" s="79"/>
      <c r="I10" s="79"/>
      <c r="J10" s="79"/>
      <c r="K10" s="79"/>
      <c r="L10" s="79"/>
      <c r="M10" s="79"/>
      <c r="N10" s="78" t="n">
        <v>3</v>
      </c>
      <c r="O10" s="79"/>
      <c r="P10" s="75" t="n">
        <v>0</v>
      </c>
      <c r="Q10" s="75" t="n">
        <v>0</v>
      </c>
      <c r="R10" s="80" t="n">
        <v>1</v>
      </c>
      <c r="S10" s="0" t="n">
        <f aca="false">SUM(P10:R10)</f>
        <v>1</v>
      </c>
      <c r="U10" s="15" t="n">
        <v>9</v>
      </c>
    </row>
    <row r="11" customFormat="false" ht="15.75" hidden="false" customHeight="false" outlineLevel="0" collapsed="false">
      <c r="A11" s="86" t="s">
        <v>164</v>
      </c>
      <c r="B11" s="85" t="s">
        <v>441</v>
      </c>
      <c r="C11" s="79"/>
      <c r="D11" s="79"/>
      <c r="E11" s="79"/>
      <c r="F11" s="78" t="n">
        <v>3</v>
      </c>
      <c r="G11" s="79"/>
      <c r="H11" s="79"/>
      <c r="I11" s="79"/>
      <c r="J11" s="79"/>
      <c r="K11" s="79"/>
      <c r="L11" s="79"/>
      <c r="M11" s="79"/>
      <c r="N11" s="79"/>
      <c r="O11" s="79"/>
      <c r="P11" s="75" t="n">
        <v>0</v>
      </c>
      <c r="Q11" s="75" t="n">
        <v>0</v>
      </c>
      <c r="R11" s="80" t="n">
        <v>1</v>
      </c>
      <c r="S11" s="0" t="n">
        <f aca="false">SUM(P11:R11)</f>
        <v>1</v>
      </c>
      <c r="U11" s="15" t="n">
        <v>10</v>
      </c>
    </row>
    <row r="12" customFormat="false" ht="15.75" hidden="false" customHeight="false" outlineLevel="0" collapsed="false">
      <c r="A12" s="86" t="s">
        <v>428</v>
      </c>
      <c r="B12" s="85" t="s">
        <v>442</v>
      </c>
      <c r="C12" s="78" t="n">
        <v>3</v>
      </c>
      <c r="D12" s="75"/>
      <c r="E12" s="75"/>
      <c r="F12" s="75"/>
      <c r="G12" s="79"/>
      <c r="H12" s="79"/>
      <c r="I12" s="79"/>
      <c r="J12" s="79"/>
      <c r="K12" s="79"/>
      <c r="L12" s="79"/>
      <c r="M12" s="79"/>
      <c r="N12" s="79"/>
      <c r="O12" s="79"/>
      <c r="P12" s="75" t="n">
        <v>0</v>
      </c>
      <c r="Q12" s="75" t="n">
        <v>0</v>
      </c>
      <c r="R12" s="80" t="n">
        <v>1</v>
      </c>
      <c r="S12" s="0" t="n">
        <f aca="false">SUM(P12:R12)</f>
        <v>1</v>
      </c>
      <c r="U12" s="15" t="n">
        <v>11</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sheetPr filterMode="false">
    <pageSetUpPr fitToPage="false"/>
  </sheetPr>
  <dimension ref="A1:W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26"/>
    <col collapsed="false" customWidth="true" hidden="false" outlineLevel="0" max="2" min="2" style="0" width="54.71"/>
    <col collapsed="false" customWidth="true" hidden="false" outlineLevel="0" max="3" min="3" style="0" width="81.86"/>
    <col collapsed="false" customWidth="true" hidden="false" outlineLevel="0" max="4" min="4" style="0" width="18"/>
    <col collapsed="false" customWidth="true" hidden="false" outlineLevel="0" max="5" min="5" style="0" width="33"/>
    <col collapsed="false" customWidth="true" hidden="false" outlineLevel="0" max="1025" min="6" style="0" width="14.43"/>
  </cols>
  <sheetData>
    <row r="1" customFormat="false" ht="15.75" hidden="false" customHeight="false" outlineLevel="0" collapsed="false">
      <c r="A1" s="88" t="s">
        <v>443</v>
      </c>
      <c r="B1" s="88"/>
      <c r="C1" s="88"/>
      <c r="D1" s="88" t="s">
        <v>444</v>
      </c>
      <c r="E1" s="88" t="s">
        <v>445</v>
      </c>
      <c r="F1" s="65"/>
      <c r="G1" s="65"/>
      <c r="I1" s="65"/>
      <c r="J1" s="65"/>
      <c r="K1" s="65"/>
      <c r="L1" s="65"/>
      <c r="M1" s="65"/>
      <c r="N1" s="65"/>
      <c r="O1" s="65"/>
      <c r="P1" s="65"/>
      <c r="Q1" s="65"/>
      <c r="R1" s="65"/>
      <c r="S1" s="65"/>
      <c r="T1" s="65"/>
      <c r="U1" s="65"/>
      <c r="V1" s="65"/>
      <c r="W1" s="65"/>
    </row>
    <row r="2" customFormat="false" ht="15.75" hidden="false" customHeight="true" outlineLevel="0" collapsed="false">
      <c r="A2" s="89" t="s">
        <v>446</v>
      </c>
      <c r="B2" s="90" t="s">
        <v>447</v>
      </c>
      <c r="C2" s="91" t="s">
        <v>448</v>
      </c>
      <c r="D2" s="90" t="s">
        <v>449</v>
      </c>
      <c r="E2" s="92" t="s">
        <v>450</v>
      </c>
      <c r="F2" s="65"/>
      <c r="G2" s="65"/>
      <c r="I2" s="65"/>
      <c r="J2" s="65"/>
      <c r="K2" s="65"/>
      <c r="L2" s="65"/>
      <c r="M2" s="65"/>
      <c r="N2" s="65"/>
      <c r="O2" s="65"/>
      <c r="P2" s="65"/>
      <c r="Q2" s="65"/>
      <c r="R2" s="65"/>
      <c r="S2" s="65"/>
      <c r="T2" s="65"/>
      <c r="U2" s="65"/>
      <c r="V2" s="65"/>
      <c r="W2" s="65"/>
    </row>
    <row r="3" customFormat="false" ht="15.75" hidden="false" customHeight="false" outlineLevel="0" collapsed="false">
      <c r="A3" s="89"/>
      <c r="B3" s="90"/>
      <c r="C3" s="91" t="s">
        <v>451</v>
      </c>
      <c r="D3" s="90"/>
      <c r="E3" s="93"/>
      <c r="F3" s="65"/>
      <c r="G3" s="65"/>
      <c r="I3" s="65"/>
      <c r="J3" s="65"/>
      <c r="K3" s="65"/>
      <c r="L3" s="65"/>
      <c r="M3" s="65"/>
      <c r="N3" s="65"/>
      <c r="O3" s="65"/>
      <c r="P3" s="65"/>
      <c r="Q3" s="65"/>
      <c r="R3" s="65"/>
      <c r="S3" s="65"/>
      <c r="T3" s="65"/>
      <c r="U3" s="65"/>
      <c r="V3" s="65"/>
      <c r="W3" s="65"/>
    </row>
    <row r="4" customFormat="false" ht="15.75" hidden="false" customHeight="false" outlineLevel="0" collapsed="false">
      <c r="A4" s="89"/>
      <c r="B4" s="90"/>
      <c r="C4" s="91" t="s">
        <v>452</v>
      </c>
      <c r="D4" s="90"/>
      <c r="E4" s="93"/>
      <c r="F4" s="65"/>
      <c r="G4" s="65"/>
      <c r="I4" s="65"/>
      <c r="J4" s="65"/>
      <c r="K4" s="65"/>
      <c r="L4" s="65"/>
      <c r="M4" s="65"/>
      <c r="N4" s="65"/>
      <c r="O4" s="65"/>
      <c r="P4" s="65"/>
      <c r="Q4" s="65"/>
      <c r="R4" s="65"/>
      <c r="S4" s="65"/>
      <c r="T4" s="65"/>
      <c r="U4" s="65"/>
      <c r="V4" s="65"/>
      <c r="W4" s="65"/>
    </row>
    <row r="5" customFormat="false" ht="15.75" hidden="false" customHeight="false" outlineLevel="0" collapsed="false">
      <c r="A5" s="89"/>
      <c r="B5" s="90"/>
      <c r="C5" s="91" t="s">
        <v>453</v>
      </c>
      <c r="D5" s="90"/>
      <c r="E5" s="93"/>
      <c r="F5" s="65"/>
      <c r="G5" s="65"/>
      <c r="I5" s="65"/>
      <c r="J5" s="65"/>
      <c r="K5" s="65"/>
      <c r="L5" s="65"/>
      <c r="M5" s="65"/>
      <c r="N5" s="65"/>
      <c r="O5" s="65"/>
      <c r="P5" s="65"/>
      <c r="Q5" s="65"/>
      <c r="R5" s="65"/>
      <c r="S5" s="65"/>
      <c r="T5" s="65"/>
      <c r="U5" s="65"/>
      <c r="V5" s="65"/>
      <c r="W5" s="65"/>
    </row>
    <row r="6" customFormat="false" ht="15.75" hidden="false" customHeight="false" outlineLevel="0" collapsed="false">
      <c r="A6" s="89"/>
      <c r="B6" s="90"/>
      <c r="C6" s="91" t="s">
        <v>454</v>
      </c>
      <c r="D6" s="90"/>
      <c r="E6" s="93"/>
      <c r="F6" s="65"/>
      <c r="G6" s="65"/>
      <c r="I6" s="65"/>
      <c r="J6" s="65"/>
      <c r="K6" s="65"/>
      <c r="L6" s="65"/>
      <c r="M6" s="65"/>
      <c r="N6" s="65"/>
      <c r="O6" s="65"/>
      <c r="P6" s="65"/>
      <c r="Q6" s="65"/>
      <c r="R6" s="65"/>
      <c r="S6" s="65"/>
      <c r="T6" s="65"/>
      <c r="U6" s="65"/>
      <c r="V6" s="65"/>
      <c r="W6" s="65"/>
    </row>
    <row r="7" customFormat="false" ht="15.75" hidden="false" customHeight="false" outlineLevel="0" collapsed="false">
      <c r="A7" s="89"/>
      <c r="B7" s="90"/>
      <c r="C7" s="91" t="s">
        <v>455</v>
      </c>
      <c r="D7" s="90"/>
      <c r="E7" s="93"/>
      <c r="F7" s="65"/>
      <c r="G7" s="65"/>
      <c r="I7" s="65"/>
      <c r="J7" s="65"/>
      <c r="K7" s="65"/>
      <c r="L7" s="65"/>
      <c r="M7" s="65"/>
      <c r="N7" s="65"/>
      <c r="O7" s="65"/>
      <c r="P7" s="65"/>
      <c r="Q7" s="65"/>
      <c r="R7" s="65"/>
      <c r="S7" s="65"/>
      <c r="T7" s="65"/>
      <c r="U7" s="65"/>
      <c r="V7" s="65"/>
      <c r="W7" s="65"/>
    </row>
    <row r="8" customFormat="false" ht="15.75" hidden="false" customHeight="false" outlineLevel="0" collapsed="false">
      <c r="A8" s="89"/>
      <c r="B8" s="94" t="s">
        <v>445</v>
      </c>
      <c r="C8" s="91" t="s">
        <v>456</v>
      </c>
      <c r="D8" s="95"/>
      <c r="E8" s="93"/>
      <c r="F8" s="65"/>
      <c r="G8" s="65"/>
      <c r="I8" s="65"/>
      <c r="J8" s="65"/>
      <c r="K8" s="65"/>
      <c r="L8" s="65"/>
      <c r="M8" s="65"/>
      <c r="N8" s="65"/>
      <c r="O8" s="65"/>
      <c r="P8" s="65"/>
      <c r="Q8" s="65"/>
      <c r="R8" s="65"/>
      <c r="S8" s="65"/>
      <c r="T8" s="65"/>
      <c r="U8" s="65"/>
      <c r="V8" s="65"/>
      <c r="W8" s="65"/>
    </row>
    <row r="9" customFormat="false" ht="15.75" hidden="false" customHeight="false" outlineLevel="0" collapsed="false">
      <c r="A9" s="89"/>
      <c r="B9" s="94"/>
      <c r="C9" s="91" t="s">
        <v>457</v>
      </c>
      <c r="D9" s="95"/>
      <c r="E9" s="93"/>
      <c r="F9" s="65"/>
      <c r="G9" s="65"/>
      <c r="I9" s="65"/>
      <c r="J9" s="65"/>
      <c r="K9" s="65"/>
      <c r="L9" s="65"/>
      <c r="M9" s="65"/>
      <c r="N9" s="65"/>
      <c r="O9" s="65"/>
      <c r="P9" s="65"/>
      <c r="Q9" s="65"/>
      <c r="R9" s="65"/>
      <c r="S9" s="65"/>
      <c r="T9" s="65"/>
      <c r="U9" s="65"/>
      <c r="V9" s="65"/>
      <c r="W9" s="65"/>
    </row>
    <row r="10" customFormat="false" ht="15.75" hidden="false" customHeight="false" outlineLevel="0" collapsed="false">
      <c r="A10" s="89"/>
      <c r="B10" s="94"/>
      <c r="C10" s="91" t="s">
        <v>458</v>
      </c>
      <c r="D10" s="95"/>
      <c r="E10" s="93"/>
      <c r="F10" s="65"/>
      <c r="G10" s="65"/>
      <c r="I10" s="65"/>
      <c r="J10" s="65"/>
      <c r="K10" s="65"/>
      <c r="L10" s="65"/>
      <c r="M10" s="65"/>
      <c r="N10" s="65"/>
      <c r="O10" s="65"/>
      <c r="P10" s="65"/>
      <c r="Q10" s="65"/>
      <c r="R10" s="65"/>
      <c r="S10" s="65"/>
      <c r="T10" s="65"/>
      <c r="U10" s="65"/>
      <c r="V10" s="65"/>
      <c r="W10" s="65"/>
    </row>
    <row r="11" customFormat="false" ht="15.75" hidden="false" customHeight="false" outlineLevel="0" collapsed="false">
      <c r="A11" s="89"/>
      <c r="B11" s="94"/>
      <c r="C11" s="96" t="s">
        <v>459</v>
      </c>
      <c r="D11" s="97"/>
      <c r="E11" s="98"/>
      <c r="F11" s="65"/>
      <c r="G11" s="65"/>
      <c r="I11" s="65"/>
      <c r="J11" s="65"/>
      <c r="K11" s="65"/>
      <c r="L11" s="65"/>
      <c r="M11" s="65"/>
      <c r="N11" s="65"/>
      <c r="O11" s="65"/>
      <c r="P11" s="65"/>
      <c r="Q11" s="65"/>
      <c r="R11" s="65"/>
      <c r="S11" s="65"/>
      <c r="T11" s="65"/>
      <c r="U11" s="65"/>
      <c r="V11" s="65"/>
      <c r="W11" s="65"/>
    </row>
    <row r="12" customFormat="false" ht="15.75" hidden="false" customHeight="false" outlineLevel="0" collapsed="false">
      <c r="A12" s="99"/>
      <c r="B12" s="100"/>
      <c r="C12" s="96"/>
      <c r="D12" s="97"/>
      <c r="E12" s="98"/>
      <c r="F12" s="65"/>
      <c r="G12" s="65"/>
      <c r="I12" s="65"/>
      <c r="J12" s="65"/>
      <c r="K12" s="65"/>
      <c r="L12" s="65"/>
      <c r="M12" s="65"/>
      <c r="N12" s="65"/>
      <c r="O12" s="65"/>
      <c r="P12" s="65"/>
      <c r="Q12" s="65"/>
      <c r="R12" s="65"/>
      <c r="S12" s="65"/>
      <c r="T12" s="65"/>
      <c r="U12" s="65"/>
      <c r="V12" s="65"/>
      <c r="W12" s="65"/>
    </row>
    <row r="13" customFormat="false" ht="15.75" hidden="false" customHeight="false" outlineLevel="0" collapsed="false">
      <c r="A13" s="101"/>
      <c r="B13" s="102"/>
      <c r="C13" s="103"/>
      <c r="D13" s="104"/>
      <c r="E13" s="105"/>
      <c r="F13" s="65"/>
      <c r="G13" s="65"/>
      <c r="I13" s="65"/>
      <c r="J13" s="65"/>
      <c r="K13" s="65"/>
      <c r="L13" s="65"/>
      <c r="M13" s="65"/>
      <c r="N13" s="65"/>
      <c r="O13" s="65"/>
      <c r="P13" s="65"/>
      <c r="Q13" s="65"/>
      <c r="R13" s="65"/>
      <c r="S13" s="65"/>
      <c r="T13" s="65"/>
      <c r="U13" s="65"/>
      <c r="V13" s="65"/>
      <c r="W13" s="65"/>
    </row>
    <row r="14" customFormat="false" ht="15.75" hidden="false" customHeight="false" outlineLevel="0" collapsed="false">
      <c r="A14" s="106" t="s">
        <v>460</v>
      </c>
      <c r="B14" s="102" t="s">
        <v>461</v>
      </c>
      <c r="C14" s="103" t="s">
        <v>462</v>
      </c>
      <c r="D14" s="103" t="s">
        <v>463</v>
      </c>
      <c r="E14" s="105"/>
      <c r="F14" s="65"/>
      <c r="G14" s="65"/>
      <c r="I14" s="65"/>
      <c r="J14" s="65"/>
      <c r="K14" s="65"/>
      <c r="L14" s="65"/>
      <c r="M14" s="65"/>
      <c r="N14" s="65"/>
      <c r="O14" s="65"/>
      <c r="P14" s="65"/>
      <c r="Q14" s="65"/>
      <c r="R14" s="65"/>
      <c r="S14" s="65"/>
      <c r="T14" s="65"/>
      <c r="U14" s="65"/>
      <c r="V14" s="65"/>
      <c r="W14" s="65"/>
    </row>
    <row r="15" customFormat="false" ht="15.75" hidden="false" customHeight="false" outlineLevel="0" collapsed="false">
      <c r="A15" s="106"/>
      <c r="B15" s="94" t="s">
        <v>464</v>
      </c>
      <c r="C15" s="91" t="s">
        <v>465</v>
      </c>
      <c r="D15" s="95"/>
      <c r="E15" s="93"/>
      <c r="F15" s="65"/>
      <c r="G15" s="65"/>
      <c r="I15" s="65"/>
      <c r="J15" s="65"/>
      <c r="K15" s="65"/>
      <c r="L15" s="65"/>
      <c r="M15" s="65"/>
      <c r="N15" s="65"/>
      <c r="O15" s="65"/>
      <c r="P15" s="65"/>
      <c r="Q15" s="65"/>
      <c r="R15" s="65"/>
      <c r="S15" s="65"/>
      <c r="T15" s="65"/>
      <c r="U15" s="65"/>
      <c r="V15" s="65"/>
      <c r="W15" s="65"/>
    </row>
    <row r="16" customFormat="false" ht="15.75" hidden="false" customHeight="false" outlineLevel="0" collapsed="false">
      <c r="A16" s="106"/>
      <c r="B16" s="94" t="s">
        <v>466</v>
      </c>
      <c r="C16" s="91" t="s">
        <v>467</v>
      </c>
      <c r="D16" s="95"/>
      <c r="E16" s="93"/>
      <c r="F16" s="65"/>
      <c r="G16" s="65"/>
      <c r="I16" s="65"/>
      <c r="J16" s="65"/>
      <c r="K16" s="65"/>
      <c r="L16" s="65"/>
      <c r="M16" s="65"/>
      <c r="N16" s="65"/>
      <c r="O16" s="65"/>
      <c r="P16" s="65"/>
      <c r="Q16" s="65"/>
      <c r="R16" s="65"/>
      <c r="S16" s="65"/>
      <c r="T16" s="65"/>
      <c r="U16" s="65"/>
      <c r="V16" s="65"/>
      <c r="W16" s="65"/>
    </row>
    <row r="17" customFormat="false" ht="15.75" hidden="false" customHeight="false" outlineLevel="0" collapsed="false">
      <c r="A17" s="106"/>
      <c r="B17" s="94" t="s">
        <v>468</v>
      </c>
      <c r="C17" s="95"/>
      <c r="D17" s="95"/>
      <c r="E17" s="93"/>
      <c r="F17" s="65"/>
      <c r="G17" s="65"/>
      <c r="I17" s="65"/>
      <c r="J17" s="65"/>
      <c r="K17" s="65"/>
      <c r="L17" s="65"/>
      <c r="M17" s="65"/>
      <c r="N17" s="65"/>
      <c r="O17" s="65"/>
      <c r="P17" s="65"/>
      <c r="Q17" s="65"/>
      <c r="R17" s="65"/>
      <c r="S17" s="65"/>
      <c r="T17" s="65"/>
      <c r="U17" s="65"/>
      <c r="V17" s="65"/>
      <c r="W17" s="65"/>
    </row>
    <row r="18" customFormat="false" ht="15.75" hidden="false" customHeight="false" outlineLevel="0" collapsed="false">
      <c r="A18" s="106"/>
      <c r="B18" s="94" t="s">
        <v>469</v>
      </c>
      <c r="C18" s="91" t="s">
        <v>470</v>
      </c>
      <c r="D18" s="95"/>
      <c r="E18" s="93"/>
      <c r="F18" s="65"/>
      <c r="G18" s="65"/>
      <c r="H18" s="65"/>
      <c r="I18" s="65"/>
      <c r="J18" s="65"/>
      <c r="K18" s="65"/>
      <c r="L18" s="65"/>
      <c r="M18" s="65"/>
      <c r="N18" s="65"/>
      <c r="O18" s="65"/>
      <c r="P18" s="65"/>
      <c r="Q18" s="65"/>
      <c r="R18" s="65"/>
      <c r="S18" s="65"/>
      <c r="T18" s="65"/>
      <c r="U18" s="65"/>
      <c r="V18" s="65"/>
      <c r="W18" s="65"/>
    </row>
    <row r="19" customFormat="false" ht="15.75" hidden="false" customHeight="false" outlineLevel="0" collapsed="false">
      <c r="A19" s="106"/>
      <c r="B19" s="94" t="s">
        <v>471</v>
      </c>
      <c r="C19" s="91" t="s">
        <v>472</v>
      </c>
      <c r="D19" s="95"/>
      <c r="E19" s="93"/>
      <c r="F19" s="65"/>
      <c r="G19" s="65"/>
      <c r="H19" s="65"/>
      <c r="I19" s="65"/>
      <c r="J19" s="65"/>
      <c r="K19" s="65"/>
      <c r="L19" s="65"/>
      <c r="M19" s="65"/>
      <c r="N19" s="65"/>
      <c r="O19" s="65"/>
      <c r="P19" s="65"/>
      <c r="Q19" s="65"/>
      <c r="R19" s="65"/>
      <c r="S19" s="65"/>
      <c r="T19" s="65"/>
      <c r="U19" s="65"/>
      <c r="V19" s="65"/>
      <c r="W19" s="65"/>
    </row>
    <row r="20" customFormat="false" ht="15.75" hidden="false" customHeight="false" outlineLevel="0" collapsed="false">
      <c r="A20" s="106"/>
      <c r="B20" s="94" t="s">
        <v>473</v>
      </c>
      <c r="C20" s="91" t="s">
        <v>474</v>
      </c>
      <c r="D20" s="91" t="s">
        <v>475</v>
      </c>
      <c r="E20" s="93"/>
      <c r="F20" s="65"/>
      <c r="G20" s="65"/>
      <c r="H20" s="65"/>
      <c r="I20" s="65"/>
      <c r="J20" s="65"/>
      <c r="K20" s="65"/>
      <c r="L20" s="65"/>
      <c r="M20" s="65"/>
      <c r="N20" s="65"/>
      <c r="O20" s="65"/>
      <c r="P20" s="65"/>
      <c r="Q20" s="65"/>
      <c r="R20" s="65"/>
      <c r="S20" s="65"/>
      <c r="T20" s="65"/>
      <c r="U20" s="65"/>
      <c r="V20" s="65"/>
      <c r="W20" s="65"/>
    </row>
    <row r="21" customFormat="false" ht="15.75" hidden="false" customHeight="false" outlineLevel="0" collapsed="false">
      <c r="A21" s="106"/>
      <c r="B21" s="94" t="s">
        <v>476</v>
      </c>
      <c r="C21" s="91" t="s">
        <v>477</v>
      </c>
      <c r="D21" s="95"/>
      <c r="E21" s="93"/>
      <c r="F21" s="65"/>
      <c r="G21" s="65"/>
      <c r="H21" s="65"/>
      <c r="I21" s="65"/>
      <c r="J21" s="65"/>
      <c r="K21" s="65"/>
      <c r="L21" s="65"/>
      <c r="M21" s="65"/>
      <c r="N21" s="65"/>
      <c r="O21" s="65"/>
      <c r="P21" s="65"/>
      <c r="Q21" s="65"/>
      <c r="R21" s="65"/>
      <c r="S21" s="65"/>
      <c r="T21" s="65"/>
      <c r="U21" s="65"/>
      <c r="V21" s="65"/>
      <c r="W21" s="65"/>
    </row>
    <row r="22" customFormat="false" ht="15.75" hidden="false" customHeight="false" outlineLevel="0" collapsed="false">
      <c r="A22" s="106"/>
      <c r="B22" s="94" t="s">
        <v>478</v>
      </c>
      <c r="C22" s="91" t="s">
        <v>479</v>
      </c>
      <c r="D22" s="95"/>
      <c r="E22" s="93"/>
      <c r="F22" s="65"/>
      <c r="G22" s="65"/>
      <c r="H22" s="65"/>
      <c r="I22" s="65"/>
      <c r="J22" s="65"/>
      <c r="K22" s="65"/>
      <c r="L22" s="65"/>
      <c r="M22" s="65"/>
      <c r="N22" s="65"/>
      <c r="O22" s="65"/>
      <c r="P22" s="65"/>
      <c r="Q22" s="65"/>
      <c r="R22" s="65"/>
      <c r="S22" s="65"/>
      <c r="T22" s="65"/>
      <c r="U22" s="65"/>
      <c r="V22" s="65"/>
      <c r="W22" s="65"/>
    </row>
    <row r="23" customFormat="false" ht="15.75" hidden="false" customHeight="false" outlineLevel="0" collapsed="false">
      <c r="A23" s="106"/>
      <c r="B23" s="91" t="s">
        <v>480</v>
      </c>
      <c r="C23" s="91" t="s">
        <v>481</v>
      </c>
      <c r="D23" s="95"/>
      <c r="E23" s="93"/>
      <c r="F23" s="65"/>
      <c r="G23" s="65"/>
      <c r="H23" s="65"/>
      <c r="I23" s="65"/>
      <c r="J23" s="65"/>
      <c r="K23" s="65"/>
      <c r="L23" s="65"/>
      <c r="M23" s="65"/>
      <c r="N23" s="65"/>
      <c r="O23" s="65"/>
      <c r="P23" s="65"/>
      <c r="Q23" s="65"/>
      <c r="R23" s="65"/>
      <c r="S23" s="65"/>
      <c r="T23" s="65"/>
      <c r="U23" s="65"/>
      <c r="V23" s="65"/>
      <c r="W23" s="65"/>
    </row>
    <row r="24" customFormat="false" ht="15.75" hidden="false" customHeight="false" outlineLevel="0" collapsed="false">
      <c r="A24" s="106"/>
      <c r="B24" s="100" t="s">
        <v>482</v>
      </c>
      <c r="C24" s="96" t="s">
        <v>483</v>
      </c>
      <c r="D24" s="97"/>
      <c r="E24" s="98"/>
      <c r="F24" s="65"/>
      <c r="G24" s="65"/>
      <c r="H24" s="65"/>
      <c r="I24" s="65"/>
      <c r="J24" s="65"/>
      <c r="K24" s="65"/>
      <c r="L24" s="65"/>
      <c r="M24" s="65"/>
      <c r="N24" s="65"/>
      <c r="O24" s="65"/>
      <c r="P24" s="65"/>
      <c r="Q24" s="65"/>
      <c r="R24" s="65"/>
      <c r="S24" s="65"/>
      <c r="T24" s="65"/>
      <c r="U24" s="65"/>
      <c r="V24" s="65"/>
      <c r="W24" s="65"/>
    </row>
    <row r="25" customFormat="false" ht="15.75" hidden="false" customHeight="false" outlineLevel="0" collapsed="false">
      <c r="A25" s="99"/>
      <c r="B25" s="100"/>
      <c r="C25" s="96"/>
      <c r="D25" s="97"/>
      <c r="E25" s="98"/>
      <c r="F25" s="65"/>
      <c r="G25" s="65"/>
      <c r="H25" s="65"/>
      <c r="I25" s="65"/>
      <c r="J25" s="65"/>
      <c r="K25" s="65"/>
      <c r="L25" s="65"/>
      <c r="M25" s="65"/>
      <c r="N25" s="65"/>
      <c r="O25" s="65"/>
      <c r="P25" s="65"/>
      <c r="Q25" s="65"/>
      <c r="R25" s="65"/>
      <c r="S25" s="65"/>
      <c r="T25" s="65"/>
      <c r="U25" s="65"/>
      <c r="V25" s="65"/>
      <c r="W25" s="65"/>
    </row>
    <row r="26" customFormat="false" ht="15.75" hidden="false" customHeight="false" outlineLevel="0" collapsed="false">
      <c r="A26" s="101"/>
      <c r="B26" s="102"/>
      <c r="C26" s="103"/>
      <c r="D26" s="104"/>
      <c r="E26" s="105"/>
      <c r="F26" s="65"/>
      <c r="G26" s="65"/>
      <c r="H26" s="65"/>
      <c r="I26" s="65"/>
      <c r="J26" s="65"/>
      <c r="K26" s="65"/>
      <c r="L26" s="65"/>
      <c r="M26" s="65"/>
      <c r="N26" s="65"/>
      <c r="O26" s="65"/>
      <c r="P26" s="65"/>
      <c r="Q26" s="65"/>
      <c r="R26" s="65"/>
      <c r="S26" s="65"/>
      <c r="T26" s="65"/>
      <c r="U26" s="65"/>
      <c r="V26" s="65"/>
      <c r="W26" s="65"/>
    </row>
    <row r="27" customFormat="false" ht="15.75" hidden="false" customHeight="false" outlineLevel="0" collapsed="false">
      <c r="A27" s="106" t="s">
        <v>484</v>
      </c>
      <c r="B27" s="102" t="s">
        <v>485</v>
      </c>
      <c r="C27" s="103" t="s">
        <v>486</v>
      </c>
      <c r="D27" s="104"/>
      <c r="E27" s="105"/>
      <c r="F27" s="65"/>
      <c r="G27" s="65"/>
      <c r="H27" s="65"/>
      <c r="I27" s="65"/>
      <c r="J27" s="65"/>
      <c r="K27" s="65"/>
      <c r="L27" s="65"/>
      <c r="M27" s="65"/>
      <c r="N27" s="65"/>
      <c r="O27" s="65"/>
      <c r="P27" s="65"/>
      <c r="Q27" s="65"/>
      <c r="R27" s="65"/>
      <c r="S27" s="65"/>
      <c r="T27" s="65"/>
      <c r="U27" s="65"/>
      <c r="V27" s="65"/>
      <c r="W27" s="65"/>
    </row>
    <row r="28" customFormat="false" ht="15.75" hidden="false" customHeight="false" outlineLevel="0" collapsed="false">
      <c r="A28" s="106"/>
      <c r="B28" s="94" t="s">
        <v>487</v>
      </c>
      <c r="C28" s="91" t="s">
        <v>488</v>
      </c>
      <c r="D28" s="95"/>
      <c r="E28" s="93"/>
      <c r="F28" s="65"/>
      <c r="G28" s="65"/>
      <c r="H28" s="65"/>
      <c r="I28" s="65"/>
      <c r="J28" s="65"/>
      <c r="K28" s="65"/>
      <c r="L28" s="65"/>
      <c r="M28" s="65"/>
      <c r="N28" s="65"/>
      <c r="O28" s="65"/>
      <c r="P28" s="65"/>
      <c r="Q28" s="65"/>
      <c r="R28" s="65"/>
      <c r="S28" s="65"/>
      <c r="T28" s="65"/>
      <c r="U28" s="65"/>
      <c r="V28" s="65"/>
      <c r="W28" s="65"/>
    </row>
    <row r="29" customFormat="false" ht="15.75" hidden="false" customHeight="false" outlineLevel="0" collapsed="false">
      <c r="A29" s="106"/>
      <c r="B29" s="91" t="s">
        <v>489</v>
      </c>
      <c r="C29" s="91"/>
      <c r="D29" s="95"/>
      <c r="E29" s="93"/>
      <c r="F29" s="65"/>
      <c r="G29" s="65"/>
      <c r="H29" s="65"/>
      <c r="I29" s="65"/>
      <c r="J29" s="65"/>
      <c r="K29" s="65"/>
      <c r="L29" s="65"/>
      <c r="M29" s="65"/>
      <c r="N29" s="65"/>
      <c r="O29" s="65"/>
      <c r="P29" s="65"/>
      <c r="Q29" s="65"/>
      <c r="R29" s="65"/>
      <c r="S29" s="65"/>
      <c r="T29" s="65"/>
      <c r="U29" s="65"/>
      <c r="V29" s="65"/>
      <c r="W29" s="65"/>
    </row>
    <row r="30" customFormat="false" ht="15.75" hidden="false" customHeight="false" outlineLevel="0" collapsed="false">
      <c r="A30" s="106"/>
      <c r="B30" s="94" t="s">
        <v>490</v>
      </c>
      <c r="C30" s="91" t="s">
        <v>491</v>
      </c>
      <c r="D30" s="95"/>
      <c r="E30" s="93"/>
      <c r="F30" s="65"/>
      <c r="G30" s="65"/>
      <c r="H30" s="65"/>
      <c r="I30" s="65"/>
      <c r="J30" s="65"/>
      <c r="K30" s="65"/>
      <c r="L30" s="65"/>
      <c r="M30" s="65"/>
      <c r="N30" s="65"/>
      <c r="O30" s="65"/>
      <c r="P30" s="65"/>
      <c r="Q30" s="65"/>
      <c r="R30" s="65"/>
      <c r="S30" s="65"/>
      <c r="T30" s="65"/>
      <c r="U30" s="65"/>
      <c r="V30" s="65"/>
      <c r="W30" s="65"/>
    </row>
    <row r="31" customFormat="false" ht="15.75" hidden="false" customHeight="false" outlineLevel="0" collapsed="false">
      <c r="A31" s="106"/>
      <c r="B31" s="94"/>
      <c r="C31" s="91" t="s">
        <v>492</v>
      </c>
      <c r="D31" s="95"/>
      <c r="E31" s="93"/>
      <c r="F31" s="65"/>
      <c r="G31" s="65"/>
      <c r="H31" s="65"/>
      <c r="I31" s="65"/>
      <c r="J31" s="65"/>
      <c r="K31" s="65"/>
      <c r="L31" s="65"/>
      <c r="M31" s="65"/>
      <c r="N31" s="65"/>
      <c r="O31" s="65"/>
      <c r="P31" s="65"/>
      <c r="Q31" s="65"/>
      <c r="R31" s="65"/>
      <c r="S31" s="65"/>
      <c r="T31" s="65"/>
      <c r="U31" s="65"/>
      <c r="V31" s="65"/>
      <c r="W31" s="65"/>
    </row>
    <row r="32" customFormat="false" ht="15.75" hidden="false" customHeight="false" outlineLevel="0" collapsed="false">
      <c r="A32" s="106"/>
      <c r="B32" s="94"/>
      <c r="C32" s="91" t="s">
        <v>493</v>
      </c>
      <c r="D32" s="95"/>
      <c r="E32" s="93"/>
      <c r="F32" s="65"/>
      <c r="G32" s="65"/>
      <c r="H32" s="65"/>
      <c r="I32" s="65"/>
      <c r="J32" s="65"/>
      <c r="K32" s="65"/>
      <c r="L32" s="65"/>
      <c r="M32" s="65"/>
      <c r="N32" s="65"/>
      <c r="O32" s="65"/>
      <c r="P32" s="65"/>
      <c r="Q32" s="65"/>
      <c r="R32" s="65"/>
      <c r="S32" s="65"/>
      <c r="T32" s="65"/>
      <c r="U32" s="65"/>
      <c r="V32" s="65"/>
      <c r="W32" s="65"/>
    </row>
    <row r="33" customFormat="false" ht="15.75" hidden="false" customHeight="false" outlineLevel="0" collapsed="false">
      <c r="A33" s="106"/>
      <c r="B33" s="94"/>
      <c r="C33" s="91" t="s">
        <v>494</v>
      </c>
      <c r="D33" s="95"/>
      <c r="E33" s="93"/>
      <c r="F33" s="65"/>
      <c r="G33" s="65"/>
      <c r="H33" s="65"/>
      <c r="I33" s="65"/>
      <c r="J33" s="65"/>
      <c r="K33" s="65"/>
      <c r="L33" s="65"/>
      <c r="M33" s="65"/>
      <c r="N33" s="65"/>
      <c r="O33" s="65"/>
      <c r="P33" s="65"/>
      <c r="Q33" s="65"/>
      <c r="R33" s="65"/>
      <c r="S33" s="65"/>
      <c r="T33" s="65"/>
      <c r="U33" s="65"/>
      <c r="V33" s="65"/>
      <c r="W33" s="65"/>
    </row>
    <row r="34" customFormat="false" ht="15.75" hidden="false" customHeight="false" outlineLevel="0" collapsed="false">
      <c r="A34" s="106"/>
      <c r="B34" s="107"/>
      <c r="C34" s="10" t="s">
        <v>495</v>
      </c>
      <c r="D34" s="107"/>
      <c r="E34" s="108"/>
      <c r="F34" s="65"/>
      <c r="G34" s="65"/>
      <c r="H34" s="65"/>
      <c r="I34" s="65"/>
      <c r="J34" s="65"/>
      <c r="K34" s="65"/>
      <c r="L34" s="65"/>
      <c r="M34" s="65"/>
      <c r="N34" s="65"/>
      <c r="O34" s="65"/>
      <c r="P34" s="65"/>
      <c r="Q34" s="65"/>
      <c r="R34" s="65"/>
      <c r="S34" s="65"/>
      <c r="T34" s="65"/>
      <c r="U34" s="65"/>
      <c r="V34" s="65"/>
      <c r="W34" s="65"/>
    </row>
    <row r="35" customFormat="false" ht="15.75" hidden="false" customHeight="false" outlineLevel="0" collapsed="false">
      <c r="A35" s="109"/>
      <c r="B35" s="109"/>
      <c r="C35" s="109"/>
      <c r="D35" s="109"/>
      <c r="E35" s="109"/>
      <c r="F35" s="65"/>
      <c r="G35" s="65"/>
      <c r="H35" s="65"/>
      <c r="I35" s="65"/>
      <c r="J35" s="65"/>
      <c r="K35" s="65"/>
      <c r="L35" s="65"/>
      <c r="M35" s="65"/>
      <c r="N35" s="65"/>
      <c r="O35" s="65"/>
      <c r="P35" s="65"/>
      <c r="Q35" s="65"/>
      <c r="R35" s="65"/>
      <c r="S35" s="65"/>
      <c r="T35" s="65"/>
      <c r="U35" s="65"/>
      <c r="V35" s="65"/>
      <c r="W35" s="65"/>
    </row>
    <row r="36" customFormat="false" ht="15.75" hidden="false" customHeight="false" outlineLevel="0" collapsed="false">
      <c r="A36" s="109"/>
      <c r="B36" s="109"/>
      <c r="C36" s="109"/>
      <c r="D36" s="109"/>
      <c r="E36" s="109"/>
      <c r="F36" s="65"/>
      <c r="G36" s="65"/>
      <c r="H36" s="65"/>
      <c r="I36" s="65"/>
      <c r="J36" s="65"/>
      <c r="K36" s="65"/>
      <c r="L36" s="65"/>
      <c r="M36" s="65"/>
      <c r="N36" s="65"/>
      <c r="O36" s="65"/>
      <c r="P36" s="65"/>
      <c r="Q36" s="65"/>
      <c r="R36" s="65"/>
      <c r="S36" s="65"/>
      <c r="T36" s="65"/>
      <c r="U36" s="65"/>
      <c r="V36" s="65"/>
      <c r="W36" s="65"/>
    </row>
    <row r="37" customFormat="false" ht="15.75" hidden="false" customHeight="true" outlineLevel="0" collapsed="false">
      <c r="A37" s="89" t="s">
        <v>496</v>
      </c>
      <c r="B37" s="90" t="s">
        <v>497</v>
      </c>
      <c r="C37" s="91" t="s">
        <v>498</v>
      </c>
      <c r="D37" s="95"/>
      <c r="E37" s="93"/>
      <c r="F37" s="65"/>
      <c r="G37" s="65"/>
      <c r="H37" s="65"/>
      <c r="I37" s="65"/>
      <c r="J37" s="65"/>
      <c r="K37" s="65"/>
      <c r="L37" s="65"/>
      <c r="M37" s="65"/>
      <c r="N37" s="65"/>
      <c r="O37" s="65"/>
      <c r="P37" s="65"/>
      <c r="Q37" s="65"/>
      <c r="R37" s="65"/>
      <c r="S37" s="65"/>
      <c r="T37" s="65"/>
      <c r="U37" s="65"/>
      <c r="V37" s="65"/>
      <c r="W37" s="65"/>
    </row>
    <row r="38" customFormat="false" ht="15.75" hidden="false" customHeight="false" outlineLevel="0" collapsed="false">
      <c r="A38" s="89"/>
      <c r="B38" s="90"/>
      <c r="C38" s="91" t="s">
        <v>499</v>
      </c>
      <c r="D38" s="95"/>
      <c r="E38" s="93"/>
      <c r="F38" s="65"/>
      <c r="G38" s="65"/>
      <c r="H38" s="65"/>
      <c r="I38" s="65"/>
      <c r="J38" s="65"/>
      <c r="K38" s="65"/>
      <c r="L38" s="65"/>
      <c r="M38" s="65"/>
      <c r="N38" s="65"/>
      <c r="O38" s="65"/>
      <c r="P38" s="65"/>
      <c r="Q38" s="65"/>
      <c r="R38" s="65"/>
      <c r="S38" s="65"/>
      <c r="T38" s="65"/>
      <c r="U38" s="65"/>
      <c r="V38" s="65"/>
      <c r="W38" s="65"/>
    </row>
    <row r="39" customFormat="false" ht="15.75" hidden="false" customHeight="false" outlineLevel="0" collapsed="false">
      <c r="A39" s="89"/>
      <c r="B39" s="90"/>
      <c r="C39" s="91" t="s">
        <v>500</v>
      </c>
      <c r="D39" s="95"/>
      <c r="E39" s="93"/>
      <c r="F39" s="65"/>
      <c r="G39" s="65"/>
      <c r="H39" s="65"/>
      <c r="I39" s="65"/>
      <c r="J39" s="65"/>
      <c r="K39" s="65"/>
      <c r="L39" s="65"/>
      <c r="M39" s="65"/>
      <c r="N39" s="65"/>
      <c r="O39" s="65"/>
      <c r="P39" s="65"/>
      <c r="Q39" s="65"/>
      <c r="R39" s="65"/>
      <c r="S39" s="65"/>
      <c r="T39" s="65"/>
      <c r="U39" s="65"/>
      <c r="V39" s="65"/>
      <c r="W39" s="65"/>
    </row>
    <row r="40" customFormat="false" ht="15.75" hidden="false" customHeight="false" outlineLevel="0" collapsed="false">
      <c r="A40" s="89"/>
      <c r="B40" s="90"/>
      <c r="C40" s="91" t="s">
        <v>501</v>
      </c>
      <c r="D40" s="95"/>
      <c r="E40" s="93"/>
      <c r="F40" s="65"/>
      <c r="G40" s="65"/>
      <c r="H40" s="65"/>
      <c r="I40" s="65"/>
      <c r="J40" s="65"/>
      <c r="K40" s="65"/>
      <c r="L40" s="65"/>
      <c r="M40" s="65"/>
      <c r="N40" s="65"/>
      <c r="O40" s="65"/>
      <c r="P40" s="65"/>
      <c r="Q40" s="65"/>
      <c r="R40" s="65"/>
      <c r="S40" s="65"/>
      <c r="T40" s="65"/>
      <c r="U40" s="65"/>
      <c r="V40" s="65"/>
      <c r="W40" s="65"/>
    </row>
    <row r="41" customFormat="false" ht="15.75" hidden="false" customHeight="false" outlineLevel="0" collapsed="false">
      <c r="A41" s="89"/>
      <c r="B41" s="90"/>
      <c r="C41" s="91" t="s">
        <v>502</v>
      </c>
      <c r="D41" s="95"/>
      <c r="E41" s="93"/>
      <c r="F41" s="65"/>
      <c r="G41" s="65"/>
      <c r="H41" s="65"/>
      <c r="I41" s="65"/>
      <c r="J41" s="65"/>
      <c r="K41" s="65"/>
      <c r="L41" s="65"/>
      <c r="M41" s="65"/>
      <c r="N41" s="65"/>
      <c r="O41" s="65"/>
      <c r="P41" s="65"/>
      <c r="Q41" s="65"/>
      <c r="R41" s="65"/>
      <c r="S41" s="65"/>
      <c r="T41" s="65"/>
      <c r="U41" s="65"/>
      <c r="V41" s="65"/>
      <c r="W41" s="65"/>
    </row>
    <row r="42" customFormat="false" ht="15.75" hidden="false" customHeight="false" outlineLevel="0" collapsed="false">
      <c r="A42" s="89"/>
      <c r="B42" s="90"/>
      <c r="C42" s="91" t="s">
        <v>503</v>
      </c>
      <c r="D42" s="95"/>
      <c r="E42" s="93"/>
      <c r="F42" s="65"/>
      <c r="G42" s="65"/>
      <c r="H42" s="65"/>
      <c r="I42" s="65"/>
      <c r="J42" s="65"/>
      <c r="K42" s="65"/>
      <c r="L42" s="65"/>
      <c r="M42" s="65"/>
      <c r="N42" s="65"/>
      <c r="O42" s="65"/>
      <c r="P42" s="65"/>
      <c r="Q42" s="65"/>
      <c r="R42" s="65"/>
      <c r="S42" s="65"/>
      <c r="T42" s="65"/>
      <c r="U42" s="65"/>
      <c r="V42" s="65"/>
      <c r="W42" s="65"/>
    </row>
    <row r="43" customFormat="false" ht="15.75" hidden="false" customHeight="false" outlineLevel="0" collapsed="false">
      <c r="A43" s="89"/>
      <c r="B43" s="90"/>
      <c r="C43" s="91" t="s">
        <v>504</v>
      </c>
      <c r="D43" s="95"/>
      <c r="E43" s="93"/>
      <c r="F43" s="65"/>
      <c r="G43" s="65"/>
      <c r="H43" s="65"/>
      <c r="I43" s="65"/>
      <c r="J43" s="65"/>
      <c r="K43" s="65"/>
      <c r="L43" s="65"/>
      <c r="M43" s="65"/>
      <c r="N43" s="65"/>
      <c r="O43" s="65"/>
      <c r="P43" s="65"/>
      <c r="Q43" s="65"/>
      <c r="R43" s="65"/>
      <c r="S43" s="65"/>
      <c r="T43" s="65"/>
      <c r="U43" s="65"/>
      <c r="V43" s="65"/>
      <c r="W43" s="65"/>
    </row>
    <row r="44" customFormat="false" ht="15.75" hidden="false" customHeight="false" outlineLevel="0" collapsed="false">
      <c r="A44" s="89"/>
      <c r="B44" s="94"/>
      <c r="C44" s="91" t="s">
        <v>505</v>
      </c>
      <c r="D44" s="95"/>
      <c r="E44" s="93"/>
      <c r="F44" s="65"/>
      <c r="G44" s="65"/>
      <c r="H44" s="65"/>
      <c r="I44" s="65"/>
      <c r="J44" s="65"/>
      <c r="K44" s="65"/>
      <c r="L44" s="65"/>
      <c r="M44" s="65"/>
      <c r="N44" s="65"/>
      <c r="O44" s="65"/>
      <c r="P44" s="65"/>
      <c r="Q44" s="65"/>
      <c r="R44" s="65"/>
      <c r="S44" s="65"/>
      <c r="T44" s="65"/>
      <c r="U44" s="65"/>
      <c r="V44" s="65"/>
      <c r="W44" s="65"/>
    </row>
    <row r="45" customFormat="false" ht="15.75" hidden="false" customHeight="false" outlineLevel="0" collapsed="false">
      <c r="A45" s="110"/>
      <c r="B45" s="110"/>
      <c r="C45" s="110"/>
      <c r="D45" s="110"/>
      <c r="E45" s="110"/>
      <c r="F45" s="65"/>
      <c r="G45" s="65"/>
      <c r="H45" s="65"/>
      <c r="I45" s="65"/>
      <c r="J45" s="65"/>
      <c r="K45" s="65"/>
      <c r="L45" s="65"/>
      <c r="M45" s="65"/>
      <c r="N45" s="65"/>
      <c r="O45" s="65"/>
      <c r="P45" s="65"/>
      <c r="Q45" s="65"/>
      <c r="R45" s="65"/>
      <c r="S45" s="65"/>
      <c r="T45" s="65"/>
      <c r="U45" s="65"/>
      <c r="V45" s="65"/>
      <c r="W45" s="65"/>
    </row>
    <row r="46" customFormat="false" ht="15.75" hidden="false" customHeight="false" outlineLevel="0" collapsed="false">
      <c r="A46" s="110"/>
      <c r="B46" s="110"/>
      <c r="C46" s="110"/>
      <c r="D46" s="110"/>
      <c r="E46" s="110"/>
      <c r="F46" s="65"/>
      <c r="G46" s="65"/>
      <c r="H46" s="65"/>
      <c r="I46" s="65"/>
      <c r="J46" s="65"/>
      <c r="K46" s="65"/>
      <c r="L46" s="65"/>
      <c r="M46" s="65"/>
      <c r="N46" s="65"/>
      <c r="O46" s="65"/>
      <c r="P46" s="65"/>
      <c r="Q46" s="65"/>
      <c r="R46" s="65"/>
      <c r="S46" s="65"/>
      <c r="T46" s="65"/>
      <c r="U46" s="65"/>
      <c r="V46" s="65"/>
      <c r="W46" s="65"/>
    </row>
    <row r="47" customFormat="false" ht="15.75" hidden="false" customHeight="false" outlineLevel="0" collapsed="false">
      <c r="A47" s="89" t="s">
        <v>506</v>
      </c>
      <c r="B47" s="94" t="s">
        <v>507</v>
      </c>
      <c r="C47" s="10" t="s">
        <v>508</v>
      </c>
      <c r="D47" s="91" t="s">
        <v>509</v>
      </c>
      <c r="E47" s="93"/>
      <c r="F47" s="65"/>
      <c r="G47" s="65"/>
      <c r="H47" s="65"/>
      <c r="I47" s="65"/>
      <c r="J47" s="65"/>
      <c r="K47" s="65"/>
      <c r="L47" s="65"/>
      <c r="M47" s="65"/>
      <c r="N47" s="65"/>
      <c r="O47" s="65"/>
      <c r="P47" s="65"/>
      <c r="Q47" s="65"/>
      <c r="R47" s="65"/>
      <c r="S47" s="65"/>
      <c r="T47" s="65"/>
      <c r="U47" s="65"/>
      <c r="V47" s="65"/>
      <c r="W47" s="65"/>
    </row>
    <row r="48" customFormat="false" ht="15.75" hidden="false" customHeight="false" outlineLevel="0" collapsed="false">
      <c r="A48" s="89"/>
      <c r="B48" s="94" t="s">
        <v>506</v>
      </c>
      <c r="C48" s="10" t="s">
        <v>510</v>
      </c>
      <c r="D48" s="95"/>
      <c r="E48" s="93"/>
      <c r="F48" s="65"/>
      <c r="G48" s="65"/>
      <c r="H48" s="65"/>
      <c r="I48" s="65"/>
      <c r="J48" s="65"/>
      <c r="K48" s="65"/>
      <c r="L48" s="65"/>
      <c r="M48" s="65"/>
      <c r="N48" s="65"/>
      <c r="O48" s="65"/>
      <c r="P48" s="65"/>
      <c r="Q48" s="65"/>
      <c r="R48" s="65"/>
      <c r="S48" s="65"/>
      <c r="T48" s="65"/>
      <c r="U48" s="65"/>
      <c r="V48" s="65"/>
      <c r="W48" s="65"/>
    </row>
    <row r="49" customFormat="false" ht="15.75" hidden="false" customHeight="false" outlineLevel="0" collapsed="false">
      <c r="A49" s="89"/>
      <c r="B49" s="94"/>
      <c r="C49" s="10" t="s">
        <v>511</v>
      </c>
      <c r="D49" s="95"/>
      <c r="E49" s="93"/>
      <c r="F49" s="65"/>
      <c r="G49" s="65"/>
      <c r="H49" s="65"/>
      <c r="I49" s="65"/>
      <c r="J49" s="65"/>
      <c r="K49" s="65"/>
      <c r="L49" s="65"/>
      <c r="M49" s="65"/>
      <c r="N49" s="65"/>
      <c r="O49" s="65"/>
      <c r="P49" s="65"/>
      <c r="Q49" s="65"/>
      <c r="R49" s="65"/>
      <c r="S49" s="65"/>
      <c r="T49" s="65"/>
      <c r="U49" s="65"/>
      <c r="V49" s="65"/>
      <c r="W49" s="65"/>
    </row>
    <row r="50" customFormat="false" ht="15.75" hidden="false" customHeight="false" outlineLevel="0" collapsed="false">
      <c r="A50" s="89"/>
      <c r="B50" s="95"/>
      <c r="C50" s="91" t="s">
        <v>512</v>
      </c>
      <c r="D50" s="95"/>
      <c r="E50" s="93"/>
      <c r="F50" s="65"/>
      <c r="G50" s="65"/>
      <c r="H50" s="65"/>
      <c r="I50" s="65"/>
      <c r="J50" s="65"/>
      <c r="K50" s="65"/>
      <c r="L50" s="65"/>
      <c r="M50" s="65"/>
      <c r="N50" s="65"/>
      <c r="O50" s="65"/>
      <c r="P50" s="65"/>
      <c r="Q50" s="65"/>
      <c r="R50" s="65"/>
      <c r="S50" s="65"/>
      <c r="T50" s="65"/>
      <c r="U50" s="65"/>
      <c r="V50" s="65"/>
      <c r="W50" s="65"/>
    </row>
    <row r="51" customFormat="false" ht="15.75" hidden="false" customHeight="false" outlineLevel="0" collapsed="false">
      <c r="A51" s="89"/>
      <c r="B51" s="95"/>
      <c r="C51" s="91" t="s">
        <v>513</v>
      </c>
      <c r="D51" s="95"/>
      <c r="E51" s="93"/>
      <c r="F51" s="65"/>
      <c r="G51" s="65"/>
      <c r="H51" s="65"/>
      <c r="I51" s="65"/>
      <c r="J51" s="65"/>
      <c r="K51" s="65"/>
      <c r="L51" s="65"/>
      <c r="M51" s="65"/>
      <c r="N51" s="65"/>
      <c r="O51" s="65"/>
      <c r="P51" s="65"/>
      <c r="Q51" s="65"/>
      <c r="R51" s="65"/>
      <c r="S51" s="65"/>
      <c r="T51" s="65"/>
      <c r="U51" s="65"/>
      <c r="V51" s="65"/>
      <c r="W51" s="65"/>
    </row>
    <row r="52" customFormat="false" ht="15.75" hidden="false" customHeight="false" outlineLevel="0" collapsed="false">
      <c r="A52" s="111"/>
      <c r="B52" s="111"/>
      <c r="C52" s="111"/>
      <c r="D52" s="111"/>
      <c r="E52" s="111"/>
      <c r="F52" s="65"/>
      <c r="G52" s="65"/>
      <c r="H52" s="65"/>
      <c r="I52" s="65"/>
      <c r="J52" s="65"/>
      <c r="K52" s="65"/>
      <c r="L52" s="65"/>
      <c r="M52" s="65"/>
      <c r="N52" s="65"/>
      <c r="O52" s="65"/>
      <c r="P52" s="65"/>
      <c r="Q52" s="65"/>
      <c r="R52" s="65"/>
      <c r="S52" s="65"/>
      <c r="T52" s="65"/>
      <c r="U52" s="65"/>
      <c r="V52" s="65"/>
      <c r="W52" s="65"/>
    </row>
    <row r="53" customFormat="false" ht="15.75" hidden="false" customHeight="false" outlineLevel="0" collapsed="false">
      <c r="A53" s="111"/>
      <c r="B53" s="111"/>
      <c r="C53" s="111"/>
      <c r="D53" s="111"/>
      <c r="E53" s="111"/>
      <c r="F53" s="65"/>
      <c r="G53" s="65"/>
      <c r="H53" s="65"/>
      <c r="I53" s="65"/>
      <c r="J53" s="65"/>
      <c r="K53" s="65"/>
      <c r="L53" s="65"/>
      <c r="M53" s="65"/>
      <c r="N53" s="65"/>
      <c r="O53" s="65"/>
      <c r="P53" s="65"/>
      <c r="Q53" s="65"/>
      <c r="R53" s="65"/>
      <c r="S53" s="65"/>
      <c r="T53" s="65"/>
      <c r="U53" s="65"/>
      <c r="V53" s="65"/>
      <c r="W53" s="65"/>
    </row>
    <row r="54" customFormat="false" ht="15.75" hidden="false" customHeight="true" outlineLevel="0" collapsed="false">
      <c r="A54" s="112" t="s">
        <v>514</v>
      </c>
      <c r="B54" s="91" t="s">
        <v>515</v>
      </c>
      <c r="C54" s="95"/>
      <c r="D54" s="95"/>
      <c r="E54" s="93"/>
      <c r="F54" s="65"/>
      <c r="G54" s="65"/>
      <c r="H54" s="65"/>
      <c r="I54" s="65"/>
      <c r="J54" s="65"/>
      <c r="K54" s="65"/>
      <c r="L54" s="65"/>
      <c r="M54" s="65"/>
      <c r="N54" s="65"/>
      <c r="O54" s="65"/>
      <c r="P54" s="65"/>
      <c r="Q54" s="65"/>
      <c r="R54" s="65"/>
      <c r="S54" s="65"/>
      <c r="T54" s="65"/>
      <c r="U54" s="65"/>
      <c r="V54" s="65"/>
      <c r="W54" s="65"/>
    </row>
    <row r="55" customFormat="false" ht="15.75" hidden="false" customHeight="false" outlineLevel="0" collapsed="false">
      <c r="A55" s="112"/>
      <c r="B55" s="91" t="s">
        <v>516</v>
      </c>
      <c r="C55" s="95"/>
      <c r="D55" s="95"/>
      <c r="E55" s="93"/>
      <c r="F55" s="65"/>
      <c r="G55" s="65"/>
      <c r="H55" s="65"/>
      <c r="I55" s="65"/>
      <c r="J55" s="65"/>
      <c r="K55" s="65"/>
      <c r="L55" s="65"/>
      <c r="M55" s="65"/>
      <c r="N55" s="65"/>
      <c r="O55" s="65"/>
      <c r="P55" s="65"/>
      <c r="Q55" s="65"/>
      <c r="R55" s="65"/>
      <c r="S55" s="65"/>
      <c r="T55" s="65"/>
      <c r="U55" s="65"/>
      <c r="V55" s="65"/>
      <c r="W55" s="65"/>
    </row>
    <row r="56" customFormat="false" ht="15.75" hidden="false" customHeight="false" outlineLevel="0" collapsed="false">
      <c r="A56" s="112"/>
      <c r="B56" s="91" t="s">
        <v>517</v>
      </c>
      <c r="C56" s="95"/>
      <c r="D56" s="95"/>
      <c r="E56" s="93"/>
      <c r="F56" s="65"/>
      <c r="G56" s="65"/>
      <c r="H56" s="65"/>
      <c r="I56" s="65"/>
      <c r="J56" s="65"/>
      <c r="K56" s="65"/>
      <c r="L56" s="65"/>
      <c r="M56" s="65"/>
      <c r="N56" s="65"/>
      <c r="O56" s="65"/>
      <c r="P56" s="65"/>
      <c r="Q56" s="65"/>
      <c r="R56" s="65"/>
      <c r="S56" s="65"/>
      <c r="T56" s="65"/>
      <c r="U56" s="65"/>
      <c r="V56" s="65"/>
      <c r="W56" s="65"/>
    </row>
    <row r="57" customFormat="false" ht="15.75" hidden="false" customHeight="false" outlineLevel="0" collapsed="false">
      <c r="A57" s="113"/>
      <c r="B57" s="113"/>
      <c r="C57" s="113"/>
      <c r="D57" s="113"/>
      <c r="E57" s="113"/>
      <c r="F57" s="65"/>
      <c r="G57" s="65"/>
      <c r="H57" s="65"/>
      <c r="I57" s="65"/>
      <c r="J57" s="65"/>
      <c r="K57" s="65"/>
      <c r="L57" s="65"/>
      <c r="M57" s="65"/>
      <c r="N57" s="65"/>
      <c r="O57" s="65"/>
      <c r="P57" s="65"/>
      <c r="Q57" s="65"/>
      <c r="R57" s="65"/>
      <c r="S57" s="65"/>
      <c r="T57" s="65"/>
      <c r="U57" s="65"/>
      <c r="V57" s="65"/>
      <c r="W57" s="65"/>
    </row>
    <row r="58" customFormat="false" ht="15.75" hidden="false" customHeight="false" outlineLevel="0" collapsed="false">
      <c r="A58" s="113"/>
      <c r="B58" s="113"/>
      <c r="C58" s="113"/>
      <c r="D58" s="113"/>
      <c r="E58" s="113"/>
      <c r="F58" s="65"/>
      <c r="G58" s="65"/>
      <c r="H58" s="65"/>
      <c r="I58" s="65"/>
      <c r="J58" s="65"/>
      <c r="K58" s="65"/>
      <c r="L58" s="65"/>
      <c r="M58" s="65"/>
      <c r="N58" s="65"/>
      <c r="O58" s="65"/>
      <c r="P58" s="65"/>
      <c r="Q58" s="65"/>
      <c r="R58" s="65"/>
      <c r="S58" s="65"/>
      <c r="T58" s="65"/>
      <c r="U58" s="65"/>
      <c r="V58" s="65"/>
      <c r="W58" s="65"/>
    </row>
    <row r="59" customFormat="false" ht="15.75" hidden="false" customHeight="false" outlineLevel="0" collapsed="false">
      <c r="A59" s="89" t="s">
        <v>445</v>
      </c>
      <c r="B59" s="91" t="s">
        <v>518</v>
      </c>
      <c r="C59" s="95"/>
      <c r="D59" s="95"/>
      <c r="E59" s="93"/>
      <c r="F59" s="65"/>
      <c r="G59" s="65"/>
      <c r="H59" s="65"/>
      <c r="I59" s="65"/>
      <c r="J59" s="65"/>
      <c r="K59" s="65"/>
      <c r="L59" s="65"/>
      <c r="M59" s="65"/>
      <c r="N59" s="65"/>
      <c r="O59" s="65"/>
      <c r="P59" s="65"/>
      <c r="Q59" s="65"/>
      <c r="R59" s="65"/>
      <c r="S59" s="65"/>
      <c r="T59" s="65"/>
      <c r="U59" s="65"/>
      <c r="V59" s="65"/>
      <c r="W59" s="65"/>
    </row>
    <row r="60" customFormat="false" ht="15.75" hidden="false" customHeight="false" outlineLevel="0" collapsed="false">
      <c r="A60" s="89"/>
      <c r="B60" s="91" t="s">
        <v>519</v>
      </c>
      <c r="C60" s="95"/>
      <c r="D60" s="95"/>
      <c r="E60" s="93"/>
      <c r="F60" s="65"/>
      <c r="G60" s="65"/>
      <c r="H60" s="65"/>
      <c r="I60" s="65"/>
      <c r="J60" s="65"/>
      <c r="K60" s="65"/>
      <c r="L60" s="65"/>
      <c r="M60" s="65"/>
      <c r="N60" s="65"/>
      <c r="O60" s="65"/>
      <c r="P60" s="65"/>
      <c r="Q60" s="65"/>
      <c r="R60" s="65"/>
      <c r="S60" s="65"/>
      <c r="T60" s="65"/>
      <c r="U60" s="65"/>
      <c r="V60" s="65"/>
      <c r="W60" s="65"/>
    </row>
    <row r="61" customFormat="false" ht="15.75" hidden="false" customHeight="false" outlineLevel="0" collapsed="false">
      <c r="A61" s="89"/>
      <c r="B61" s="91" t="s">
        <v>520</v>
      </c>
      <c r="C61" s="95"/>
      <c r="D61" s="95"/>
      <c r="E61" s="93"/>
      <c r="F61" s="65"/>
      <c r="G61" s="65"/>
      <c r="H61" s="65"/>
      <c r="I61" s="65"/>
      <c r="J61" s="65"/>
      <c r="K61" s="65"/>
      <c r="L61" s="65"/>
      <c r="M61" s="65"/>
      <c r="N61" s="65"/>
      <c r="O61" s="65"/>
      <c r="P61" s="65"/>
      <c r="Q61" s="65"/>
      <c r="R61" s="65"/>
      <c r="S61" s="65"/>
      <c r="T61" s="65"/>
      <c r="U61" s="65"/>
      <c r="V61" s="65"/>
      <c r="W61" s="65"/>
    </row>
    <row r="62" customFormat="false" ht="15.75" hidden="false" customHeight="false" outlineLevel="0" collapsed="false">
      <c r="A62" s="89"/>
      <c r="B62" s="91" t="s">
        <v>521</v>
      </c>
      <c r="C62" s="95"/>
      <c r="D62" s="95"/>
      <c r="E62" s="93"/>
      <c r="F62" s="65"/>
      <c r="G62" s="65"/>
      <c r="H62" s="65"/>
      <c r="I62" s="65"/>
      <c r="J62" s="65"/>
      <c r="K62" s="65"/>
      <c r="L62" s="65"/>
      <c r="M62" s="65"/>
      <c r="N62" s="65"/>
      <c r="O62" s="65"/>
      <c r="P62" s="65"/>
      <c r="Q62" s="65"/>
      <c r="R62" s="65"/>
      <c r="S62" s="65"/>
      <c r="T62" s="65"/>
      <c r="U62" s="65"/>
      <c r="V62" s="65"/>
      <c r="W62" s="65"/>
    </row>
    <row r="63" customFormat="false" ht="15.75" hidden="false" customHeight="false" outlineLevel="0" collapsed="false">
      <c r="A63" s="89"/>
      <c r="B63" s="91" t="s">
        <v>522</v>
      </c>
      <c r="C63" s="95"/>
      <c r="D63" s="95"/>
      <c r="E63" s="93"/>
      <c r="F63" s="65"/>
      <c r="G63" s="65"/>
      <c r="H63" s="65"/>
      <c r="I63" s="65"/>
      <c r="J63" s="65"/>
      <c r="K63" s="65"/>
      <c r="L63" s="65"/>
      <c r="M63" s="65"/>
      <c r="N63" s="65"/>
      <c r="O63" s="65"/>
      <c r="P63" s="65"/>
      <c r="Q63" s="65"/>
      <c r="R63" s="65"/>
      <c r="S63" s="65"/>
      <c r="T63" s="65"/>
      <c r="U63" s="65"/>
      <c r="V63" s="65"/>
      <c r="W63" s="65"/>
    </row>
    <row r="64" customFormat="false" ht="15.75" hidden="false" customHeight="false" outlineLevel="0" collapsed="false">
      <c r="A64" s="89"/>
      <c r="B64" s="91" t="s">
        <v>523</v>
      </c>
      <c r="C64" s="95"/>
      <c r="D64" s="95"/>
      <c r="E64" s="93"/>
      <c r="F64" s="65"/>
      <c r="G64" s="65"/>
      <c r="H64" s="65"/>
      <c r="I64" s="65"/>
      <c r="J64" s="65"/>
      <c r="K64" s="65"/>
      <c r="L64" s="65"/>
      <c r="M64" s="65"/>
      <c r="N64" s="65"/>
      <c r="O64" s="65"/>
      <c r="P64" s="65"/>
      <c r="Q64" s="65"/>
      <c r="R64" s="65"/>
      <c r="S64" s="65"/>
      <c r="T64" s="65"/>
      <c r="U64" s="65"/>
      <c r="V64" s="65"/>
      <c r="W64" s="65"/>
    </row>
    <row r="65" customFormat="false" ht="15.75" hidden="false" customHeight="false" outlineLevel="0" collapsed="false">
      <c r="A65" s="89"/>
      <c r="B65" s="91" t="s">
        <v>524</v>
      </c>
      <c r="C65" s="95"/>
      <c r="D65" s="95"/>
      <c r="E65" s="93"/>
      <c r="F65" s="65"/>
      <c r="G65" s="65"/>
      <c r="H65" s="65"/>
      <c r="I65" s="65"/>
      <c r="J65" s="65"/>
      <c r="K65" s="65"/>
      <c r="L65" s="65"/>
      <c r="M65" s="65"/>
      <c r="N65" s="65"/>
      <c r="O65" s="65"/>
      <c r="P65" s="65"/>
      <c r="Q65" s="65"/>
      <c r="R65" s="65"/>
      <c r="S65" s="65"/>
      <c r="T65" s="65"/>
      <c r="U65" s="65"/>
      <c r="V65" s="65"/>
      <c r="W65" s="65"/>
    </row>
    <row r="66" customFormat="false" ht="15.75" hidden="false" customHeight="false" outlineLevel="0" collapsed="false">
      <c r="A66" s="89"/>
      <c r="B66" s="91" t="s">
        <v>525</v>
      </c>
      <c r="C66" s="95"/>
      <c r="D66" s="95"/>
      <c r="E66" s="93"/>
      <c r="F66" s="65"/>
      <c r="G66" s="65"/>
      <c r="H66" s="65"/>
      <c r="I66" s="65"/>
      <c r="J66" s="65"/>
      <c r="K66" s="65"/>
      <c r="L66" s="65"/>
      <c r="M66" s="65"/>
      <c r="N66" s="65"/>
      <c r="O66" s="65"/>
      <c r="P66" s="65"/>
      <c r="Q66" s="65"/>
      <c r="R66" s="65"/>
      <c r="S66" s="65"/>
      <c r="T66" s="65"/>
      <c r="U66" s="65"/>
      <c r="V66" s="65"/>
      <c r="W66" s="65"/>
    </row>
    <row r="1048576" customFormat="false" ht="15.75" hidden="false" customHeight="true" outlineLevel="0" collapsed="false"/>
  </sheetData>
  <mergeCells count="17">
    <mergeCell ref="A1:C1"/>
    <mergeCell ref="A2:A11"/>
    <mergeCell ref="B2:B7"/>
    <mergeCell ref="D2:D7"/>
    <mergeCell ref="B8:B11"/>
    <mergeCell ref="A14:A24"/>
    <mergeCell ref="A27:A34"/>
    <mergeCell ref="A35:E36"/>
    <mergeCell ref="A37:A44"/>
    <mergeCell ref="B37:B43"/>
    <mergeCell ref="A45:E46"/>
    <mergeCell ref="A47:A51"/>
    <mergeCell ref="B48:B49"/>
    <mergeCell ref="A52:E53"/>
    <mergeCell ref="A54:A56"/>
    <mergeCell ref="A57:E58"/>
    <mergeCell ref="A59:A66"/>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sheetPr filterMode="false">
    <pageSetUpPr fitToPage="false"/>
  </sheetPr>
  <dimension ref="C3: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025" min="1" style="0" width="14.43"/>
  </cols>
  <sheetData>
    <row r="3" customFormat="false" ht="15.75" hidden="false" customHeight="false" outlineLevel="0" collapsed="false">
      <c r="C3" s="15" t="s">
        <v>526</v>
      </c>
    </row>
    <row r="4" customFormat="false" ht="15.75" hidden="false" customHeight="false" outlineLevel="0" collapsed="false">
      <c r="C4" s="15" t="s">
        <v>527</v>
      </c>
    </row>
    <row r="5" customFormat="false" ht="15.75" hidden="false" customHeight="false" outlineLevel="0" collapsed="false">
      <c r="C5" s="15" t="s">
        <v>528</v>
      </c>
    </row>
    <row r="6" customFormat="false" ht="15.75" hidden="false" customHeight="false" outlineLevel="0" collapsed="false">
      <c r="C6" s="15" t="s">
        <v>529</v>
      </c>
    </row>
    <row r="7" customFormat="false" ht="15.75" hidden="false" customHeight="false" outlineLevel="0" collapsed="false">
      <c r="C7" s="15" t="s">
        <v>530</v>
      </c>
    </row>
    <row r="8" customFormat="false" ht="15.75" hidden="false" customHeight="false" outlineLevel="0" collapsed="false">
      <c r="C8" s="15" t="s">
        <v>531</v>
      </c>
    </row>
    <row r="9" customFormat="false" ht="15.75" hidden="false" customHeight="false" outlineLevel="0" collapsed="false">
      <c r="C9" s="15" t="s">
        <v>532</v>
      </c>
    </row>
    <row r="14" customFormat="false" ht="15.75" hidden="false" customHeight="false" outlineLevel="0" collapsed="false">
      <c r="C14" s="15" t="s">
        <v>533</v>
      </c>
    </row>
    <row r="15" customFormat="false" ht="15.75" hidden="false" customHeight="false" outlineLevel="0" collapsed="false">
      <c r="D15" s="15" t="s">
        <v>534</v>
      </c>
    </row>
    <row r="16" customFormat="false" ht="15.75" hidden="false" customHeight="false" outlineLevel="0" collapsed="false">
      <c r="D16" s="15" t="s">
        <v>535</v>
      </c>
    </row>
    <row r="17" customFormat="false" ht="15.75" hidden="false" customHeight="false" outlineLevel="0" collapsed="false">
      <c r="D17" s="15" t="s">
        <v>536</v>
      </c>
    </row>
  </sheetData>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sheetPr filterMode="false">
    <pageSetUpPr fitToPage="false"/>
  </sheetPr>
  <dimension ref="A1:Z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5.75" zeroHeight="false" outlineLevelRow="0" outlineLevelCol="0"/>
  <cols>
    <col collapsed="false" customWidth="true" hidden="false" outlineLevel="0" max="1" min="1" style="0" width="40"/>
    <col collapsed="false" customWidth="true" hidden="false" outlineLevel="0" max="2" min="2" style="0" width="55.57"/>
    <col collapsed="false" customWidth="true" hidden="false" outlineLevel="0" max="1025" min="3" style="0" width="14.43"/>
  </cols>
  <sheetData>
    <row r="1" customFormat="false" ht="15.75" hidden="false" customHeight="false" outlineLevel="0" collapsed="false">
      <c r="A1" s="15" t="s">
        <v>537</v>
      </c>
      <c r="B1" s="23" t="s">
        <v>538</v>
      </c>
    </row>
    <row r="2" customFormat="false" ht="15.75" hidden="false" customHeight="false" outlineLevel="0" collapsed="false">
      <c r="A2" s="15" t="s">
        <v>539</v>
      </c>
      <c r="B2" s="23" t="s">
        <v>540</v>
      </c>
    </row>
    <row r="3" customFormat="false" ht="15.75" hidden="false" customHeight="false" outlineLevel="0" collapsed="false">
      <c r="A3" s="15" t="s">
        <v>541</v>
      </c>
      <c r="B3" s="23" t="s">
        <v>542</v>
      </c>
    </row>
    <row r="4" customFormat="false" ht="15.75" hidden="false" customHeight="false" outlineLevel="0" collapsed="false">
      <c r="A4" s="81" t="s">
        <v>543</v>
      </c>
      <c r="B4" s="114" t="s">
        <v>544</v>
      </c>
      <c r="C4" s="115"/>
      <c r="D4" s="115"/>
      <c r="E4" s="115"/>
      <c r="F4" s="115"/>
      <c r="G4" s="115"/>
      <c r="H4" s="115"/>
      <c r="I4" s="115"/>
      <c r="J4" s="115"/>
      <c r="K4" s="115"/>
      <c r="L4" s="115"/>
      <c r="M4" s="115"/>
      <c r="N4" s="115"/>
      <c r="O4" s="115"/>
      <c r="P4" s="115"/>
      <c r="Q4" s="115"/>
      <c r="R4" s="115"/>
      <c r="S4" s="115"/>
      <c r="T4" s="115"/>
      <c r="U4" s="115"/>
      <c r="V4" s="115"/>
      <c r="W4" s="115"/>
      <c r="X4" s="115"/>
      <c r="Y4" s="115"/>
      <c r="Z4" s="115"/>
    </row>
    <row r="5" customFormat="false" ht="15.75" hidden="false" customHeight="false" outlineLevel="0" collapsed="false">
      <c r="A5" s="15" t="s">
        <v>545</v>
      </c>
      <c r="B5" s="23" t="s">
        <v>546</v>
      </c>
    </row>
    <row r="6" customFormat="false" ht="15.75" hidden="false" customHeight="false" outlineLevel="0" collapsed="false">
      <c r="A6" s="15" t="s">
        <v>547</v>
      </c>
      <c r="B6" s="23" t="s">
        <v>548</v>
      </c>
    </row>
    <row r="7" customFormat="false" ht="15.75" hidden="false" customHeight="false" outlineLevel="0" collapsed="false">
      <c r="A7" s="15" t="s">
        <v>549</v>
      </c>
      <c r="B7" s="23" t="s">
        <v>550</v>
      </c>
    </row>
    <row r="8" customFormat="false" ht="15.75" hidden="false" customHeight="false" outlineLevel="0" collapsed="false">
      <c r="A8" s="15" t="s">
        <v>551</v>
      </c>
      <c r="B8" s="23" t="s">
        <v>552</v>
      </c>
    </row>
    <row r="9" customFormat="false" ht="15.75" hidden="false" customHeight="false" outlineLevel="0" collapsed="false">
      <c r="A9" s="15" t="s">
        <v>553</v>
      </c>
      <c r="B9" s="23" t="s">
        <v>554</v>
      </c>
    </row>
    <row r="12" customFormat="false" ht="15.75" hidden="false" customHeight="false" outlineLevel="0" collapsed="false">
      <c r="A12" s="116" t="s">
        <v>555</v>
      </c>
      <c r="B12" s="15" t="s">
        <v>556</v>
      </c>
    </row>
    <row r="13" customFormat="false" ht="15.75" hidden="false" customHeight="false" outlineLevel="0" collapsed="false">
      <c r="A13" s="116" t="s">
        <v>557</v>
      </c>
      <c r="B13" s="15" t="s">
        <v>558</v>
      </c>
    </row>
    <row r="14" customFormat="false" ht="15.75" hidden="false" customHeight="false" outlineLevel="0" collapsed="false">
      <c r="A14" s="116" t="s">
        <v>559</v>
      </c>
      <c r="B14" s="15" t="s">
        <v>560</v>
      </c>
    </row>
  </sheetData>
  <hyperlinks>
    <hyperlink ref="B1" r:id="rId1" display="https://en.wikipedia.org/wiki/RoboCup_Standard_Platform_League"/>
    <hyperlink ref="B2" r:id="rId2" display="http://www.robocup.org/"/>
    <hyperlink ref="B3" r:id="rId3" display="https://www.softbankrobotics.com/emea/en/nao"/>
    <hyperlink ref="B4" r:id="rId4" display="http://spl.robocup.org/"/>
    <hyperlink ref="B5" r:id="rId5" display="https://spl.robocup.org/history/"/>
    <hyperlink ref="B6" r:id="rId6" display="https://spl.robocup.org/teams/"/>
    <hyperlink ref="B7" r:id="rId7" display="https://spl.robocup.org/open-source/"/>
    <hyperlink ref="B8" r:id="rId8" display="https://spl.robocup.org/research/"/>
    <hyperlink ref="B9" r:id="rId9" display="https://spl.robocup.org/v6-support/"/>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2020-08-16T23:51:06Z</dcterms:modified>
  <cp:revision>1</cp:revision>
  <dc:subject/>
  <dc:title/>
</cp:coreProperties>
</file>